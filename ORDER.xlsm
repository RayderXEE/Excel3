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IntellijIdea\Excel3\"/>
    </mc:Choice>
  </mc:AlternateContent>
  <bookViews>
    <workbookView xWindow="480" yWindow="150" windowWidth="18750" windowHeight="10245"/>
  </bookViews>
  <sheets>
    <sheet name="order export" sheetId="4" r:id="rId1"/>
    <sheet name="XDO_METADATA" sheetId="2" state="hidden" r:id="rId2"/>
  </sheets>
  <calcPr calcId="152511"/>
</workbook>
</file>

<file path=xl/calcChain.xml><?xml version="1.0" encoding="utf-8"?>
<calcChain xmlns="http://schemas.openxmlformats.org/spreadsheetml/2006/main">
  <c r="F24" i="4" l="1"/>
  <c r="F23" i="4"/>
  <c r="F22" i="4"/>
  <c r="F21" i="4"/>
  <c r="F25" i="4"/>
  <c r="F26" i="4"/>
  <c r="L25" i="4" l="1"/>
  <c r="L24" i="4"/>
  <c r="L23" i="4"/>
  <c r="L22" i="4"/>
  <c r="L21" i="4"/>
  <c r="I34" i="4"/>
  <c r="I33" i="4"/>
  <c r="L26" i="4"/>
  <c r="F27" i="4"/>
  <c r="L27" i="4" s="1"/>
  <c r="I32" i="4"/>
  <c r="L32" i="4" l="1"/>
</calcChain>
</file>

<file path=xl/sharedStrings.xml><?xml version="1.0" encoding="utf-8"?>
<sst xmlns="http://schemas.openxmlformats.org/spreadsheetml/2006/main" count="315" uniqueCount="125">
  <si>
    <t>Version</t>
  </si>
  <si>
    <t>ARU-dbdrv</t>
  </si>
  <si>
    <t>Extractor Version</t>
  </si>
  <si>
    <t>Template Code</t>
  </si>
  <si>
    <t>Template Type</t>
  </si>
  <si>
    <t>TYPE_EXCEL_TEMPLATE</t>
  </si>
  <si>
    <t>Preprocess XSL Template</t>
  </si>
  <si>
    <t>Last Modified Date</t>
  </si>
  <si>
    <t>Last Modified By</t>
  </si>
  <si>
    <t>Data Constraints:</t>
  </si>
  <si>
    <t>XDO_SHEET_?</t>
  </si>
  <si>
    <t>Product Name</t>
  </si>
  <si>
    <t>Frame Contract No.</t>
  </si>
  <si>
    <t>Named Place:</t>
  </si>
  <si>
    <t>Payment Currency</t>
  </si>
  <si>
    <t>Payment Terms:</t>
  </si>
  <si>
    <t>Quotation Currency:</t>
  </si>
  <si>
    <t>Ship to:</t>
  </si>
  <si>
    <t>VAT Total:</t>
  </si>
  <si>
    <t>Total Qty:</t>
  </si>
  <si>
    <t>Total</t>
  </si>
  <si>
    <t>Purchase Order</t>
  </si>
  <si>
    <t>Order To：</t>
  </si>
  <si>
    <t xml:space="preserve">         From： </t>
  </si>
  <si>
    <t>Address：</t>
  </si>
  <si>
    <t>Contact：</t>
  </si>
  <si>
    <t>Tel：</t>
  </si>
  <si>
    <t>AcountPhone：</t>
  </si>
  <si>
    <t>Fax：</t>
  </si>
  <si>
    <t/>
  </si>
  <si>
    <t>eMail：</t>
  </si>
  <si>
    <t>Fax No.：</t>
  </si>
  <si>
    <t>contractual counterparty Purchase Order No.:</t>
  </si>
  <si>
    <t>Equipment Total Amount:</t>
  </si>
  <si>
    <t>Service Total Amount:</t>
  </si>
  <si>
    <t>Equipment Total Qty:</t>
  </si>
  <si>
    <t>Service Total Qty:</t>
  </si>
  <si>
    <t>Equipment VAT Total:</t>
  </si>
  <si>
    <t>Service VAT Total:</t>
  </si>
  <si>
    <t>Total Amount:</t>
  </si>
  <si>
    <t>BOQ No.</t>
  </si>
  <si>
    <t>Description</t>
  </si>
  <si>
    <t>XDO_SHEET_NAME_?</t>
    <phoneticPr fontId="7" type="noConversion"/>
  </si>
  <si>
    <t>ConsumerBean</t>
    <phoneticPr fontId="7" type="noConversion"/>
  </si>
  <si>
    <t>TitleRowIndex</t>
    <phoneticPr fontId="7" type="noConversion"/>
  </si>
  <si>
    <t>DataRowIndex</t>
    <phoneticPr fontId="7" type="noConversion"/>
  </si>
  <si>
    <t>ExportFormat</t>
    <phoneticPr fontId="7" type="noConversion"/>
  </si>
  <si>
    <t>xlsm</t>
    <phoneticPr fontId="7" type="noConversion"/>
  </si>
  <si>
    <t>ExportField</t>
    <phoneticPr fontId="7" type="noConversion"/>
  </si>
  <si>
    <t>orderDetailExportDataProvider</t>
    <phoneticPr fontId="7" type="noConversion"/>
  </si>
  <si>
    <t>itemNo,boqNo,model,productName,description,listPrice,qty,discount,total,serviceStartDate</t>
    <phoneticPr fontId="7" type="noConversion"/>
  </si>
  <si>
    <t>Version №:1</t>
  </si>
  <si>
    <t>Huawei Technologies Co.,Ltd(Russia)</t>
  </si>
  <si>
    <t>JET INFOSYSTEMS</t>
  </si>
  <si>
    <t>17,bldg.2, Krylatskaya, Moscow, 121614, City Moscow, Russian Federation</t>
  </si>
  <si>
    <t>Alexander Chistov</t>
  </si>
  <si>
    <t>7-495-4117-601</t>
  </si>
  <si>
    <t>+7 9162938994</t>
  </si>
  <si>
    <t>74954117602</t>
  </si>
  <si>
    <t>alive@jet.msk.su</t>
  </si>
  <si>
    <t>Huawei Purchase Order No.:</t>
  </si>
  <si>
    <t>0Y06431901480S</t>
  </si>
  <si>
    <t>1129-94-HW</t>
  </si>
  <si>
    <t>0YC6471800010L</t>
  </si>
  <si>
    <t>Incoterms:</t>
  </si>
  <si>
    <t>DDP</t>
  </si>
  <si>
    <t>Moscow - Russian Federation</t>
  </si>
  <si>
    <t>Expected Arrival Date:</t>
  </si>
  <si>
    <t>2019-12-29</t>
  </si>
  <si>
    <t>USD</t>
  </si>
  <si>
    <t>Equipment:Partner shall Pay  before shipment by Telegraphic Transfer (“T/T”) within 7 days after the invoice issued but no later than the agreed package complete date，and Huawei would arrange shipment within 7 days after payment received. If Huawei has not received full payment , Huawei has the right to suspend the shipment.;</t>
  </si>
  <si>
    <t>Moscow, Bolshaya Novodmitrovskaya, 14, bld 1,Russian Federation</t>
  </si>
  <si>
    <t>11440.81</t>
  </si>
  <si>
    <t>0</t>
  </si>
  <si>
    <t>46</t>
  </si>
  <si>
    <t>2288.16</t>
  </si>
  <si>
    <t>Item No.</t>
  </si>
  <si>
    <t>Model</t>
  </si>
  <si>
    <t>List Price</t>
  </si>
  <si>
    <t>Qty</t>
  </si>
  <si>
    <t>Discount%</t>
  </si>
  <si>
    <t>ServiceStartDate</t>
  </si>
  <si>
    <t>02311KSW</t>
  </si>
  <si>
    <t>PM50K-V4S</t>
  </si>
  <si>
    <t>UPS5000/PDU</t>
  </si>
  <si>
    <t>Function Module,50kVA power module,3U,UPS5000-E</t>
  </si>
  <si>
    <t>1</t>
  </si>
  <si>
    <t>02311MAJ</t>
  </si>
  <si>
    <t>UPS5000-E-200K-SM</t>
  </si>
  <si>
    <t>UPS5000-E,200kVA,three phase four wire system,380V,standard configuration(with maintenance bypass switch),top or bottom cabling,50kVA power module</t>
  </si>
  <si>
    <t>02310NBS</t>
  </si>
  <si>
    <t>ENR1DETA MODULE</t>
  </si>
  <si>
    <t>Controller-Temperature and humidity acquisition module-Temperature and humidity sensor-No display screen-12V power supply</t>
  </si>
  <si>
    <t>04092675</t>
  </si>
  <si>
    <t>IDS2BATCBLE0</t>
  </si>
  <si>
    <t>Cable Bundle,FusionModule2000,26AH/40AH-16mm^2-32~40pcs battery-Match for 24022487(5min Discharge),24022488(5min Discharge),24021288(5min Discharge),24021289(5min Discharge)</t>
  </si>
  <si>
    <t>02114914</t>
  </si>
  <si>
    <t>FR42611W</t>
  </si>
  <si>
    <t>Battery  Basic Cabinet rack-600mm(W)*1100mm(D)*2000mm(H)</t>
  </si>
  <si>
    <t>02232ELB</t>
  </si>
  <si>
    <t>IDST4-160A-Switch</t>
  </si>
  <si>
    <t>battery cabinet attachment-T4-160A-Switch attachment-match for iBattery</t>
  </si>
  <si>
    <t>24022488</t>
  </si>
  <si>
    <t>BSD12V40AH01</t>
  </si>
  <si>
    <t>Rechargeable Battery, VRLA Battery, 12V, 40Ah, 12V Monobloc, 197mm(W) * 165mm(D) * 172mm(H), 1 PCS, Shuangdeng 6-GFM-40, UPS Battery</t>
  </si>
  <si>
    <t>40</t>
  </si>
  <si>
    <t>Батарея Rechargeable Battery, VRLA Battery, 12V, 40Ah, 12V Monobloc, 197mm(W) * 165mm(D) * 172mm(H), 1 PCS, Shuangdeng 6-GFM-40, UPS Battery</t>
  </si>
  <si>
    <t>Модуль контроля температуры и влажности Controller-Temperature and humidity acquisition module-Temperature and humidity sensor-No display screen-12V power supply</t>
  </si>
  <si>
    <t>Кабель Cable Bundle,FusionModule2000,26AH/40AH-16mm^2-32~40pcs battery-Match for 24022487(5min Discharge),24022488(5min Discharge),24021288(5min Discharge),24021289(5min Discharge)</t>
  </si>
  <si>
    <t>Функциональный модуль Function Module,50kVA power module,3U,UPS5000-E</t>
  </si>
  <si>
    <t>Устройство электропитания UPS5000-E-200K-SM,200kVA,three phase four wire system,380V,standard configuration(with maintenance bypass switch),top or bottom cabling,50kVA power module</t>
  </si>
  <si>
    <t>Шкаф для Устройства электропитания Battery  Basic Cabinet rack-600mm(W)*1100mm(D)*2000mm(H)</t>
  </si>
  <si>
    <t>Модуль предохранителей battery cabinet attachment-T4-160A-Switch attachment-match for iBattery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</si>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</sst>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0"/>
      <color theme="1"/>
      <name val="Tahoma"/>
      <family val="2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9"/>
      <name val="宋体"/>
      <family val="3"/>
      <charset val="134"/>
    </font>
    <font>
      <b/>
      <sz val="10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10"/>
      <color theme="1"/>
      <name val="Times New Roman"/>
      <family val="1"/>
    </font>
    <font>
      <b/>
      <sz val="11"/>
      <color theme="1"/>
      <name val="Calibri"/>
      <family val="3"/>
      <charset val="134"/>
      <scheme val="minor"/>
    </font>
    <font>
      <sz val="12"/>
      <name val="宋体"/>
      <family val="3"/>
      <charset val="134"/>
    </font>
    <font>
      <sz val="20"/>
      <color rgb="FFC00000"/>
      <name val="Tahoma"/>
      <family val="2"/>
    </font>
    <font>
      <sz val="10"/>
      <color rgb="FFC00000"/>
      <name val="Tahoma"/>
      <family val="2"/>
    </font>
    <font>
      <b/>
      <sz val="10"/>
      <color rgb="FFC00000"/>
      <name val="Tahoma"/>
      <family val="2"/>
    </font>
    <font>
      <sz val="12"/>
      <name val="宋体"/>
      <family val="3"/>
      <charset val="134"/>
    </font>
    <font>
      <sz val="12"/>
      <name val="宋体"/>
      <charset val="134"/>
    </font>
    <font>
      <sz val="8"/>
      <name val="Arial"/>
      <family val="2"/>
    </font>
    <font>
      <sz val="8"/>
      <name val="Arial"/>
      <family val="2"/>
    </font>
    <font>
      <sz val="8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6" fillId="0" borderId="0">
      <alignment vertical="center"/>
    </xf>
    <xf numFmtId="0" fontId="10" fillId="0" borderId="0"/>
    <xf numFmtId="0" fontId="13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13" fillId="0" borderId="0">
      <alignment vertical="center"/>
    </xf>
  </cellStyleXfs>
  <cellXfs count="60">
    <xf numFmtId="0" fontId="0" fillId="0" borderId="0" xfId="0"/>
    <xf numFmtId="0" fontId="9" fillId="2" borderId="1" xfId="2" applyFont="1" applyFill="1" applyBorder="1"/>
    <xf numFmtId="15" fontId="9" fillId="2" borderId="1" xfId="2" applyNumberFormat="1" applyFont="1" applyFill="1" applyBorder="1" applyAlignment="1">
      <alignment horizontal="left"/>
    </xf>
    <xf numFmtId="0" fontId="13" fillId="0" borderId="0" xfId="3">
      <alignment vertical="center"/>
    </xf>
    <xf numFmtId="0" fontId="16" fillId="3" borderId="0" xfId="5" applyFont="1" applyFill="1" applyBorder="1" applyAlignment="1">
      <alignment horizontal="center" vertical="top" wrapText="1"/>
    </xf>
    <xf numFmtId="0" fontId="15" fillId="0" borderId="0" xfId="5" applyFont="1" applyFill="1" applyBorder="1" applyAlignment="1">
      <alignment horizontal="right"/>
    </xf>
    <xf numFmtId="0" fontId="5" fillId="0" borderId="0" xfId="5" applyBorder="1" applyAlignment="1"/>
    <xf numFmtId="0" fontId="15" fillId="0" borderId="7" xfId="0" applyFont="1" applyFill="1" applyBorder="1" applyAlignment="1">
      <alignment horizontal="right"/>
    </xf>
    <xf numFmtId="0" fontId="15" fillId="0" borderId="2" xfId="0" applyFont="1" applyFill="1" applyBorder="1" applyAlignment="1">
      <alignment horizontal="right"/>
    </xf>
    <xf numFmtId="0" fontId="0" fillId="0" borderId="0" xfId="0" applyFill="1"/>
    <xf numFmtId="0" fontId="15" fillId="0" borderId="8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right"/>
    </xf>
    <xf numFmtId="0" fontId="15" fillId="0" borderId="8" xfId="0" applyFont="1" applyFill="1" applyBorder="1"/>
    <xf numFmtId="0" fontId="0" fillId="0" borderId="0" xfId="0" applyFont="1" applyFill="1" applyBorder="1"/>
    <xf numFmtId="0" fontId="0" fillId="0" borderId="6" xfId="0" applyFill="1" applyBorder="1" applyAlignment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/>
    <xf numFmtId="0" fontId="0" fillId="0" borderId="4" xfId="0" applyFill="1" applyBorder="1" applyAlignment="1"/>
    <xf numFmtId="0" fontId="15" fillId="0" borderId="9" xfId="0" applyFont="1" applyFill="1" applyBorder="1" applyAlignment="1">
      <alignment horizontal="right"/>
    </xf>
    <xf numFmtId="0" fontId="15" fillId="0" borderId="5" xfId="0" applyFont="1" applyFill="1" applyBorder="1" applyAlignment="1">
      <alignment horizontal="right"/>
    </xf>
    <xf numFmtId="0" fontId="0" fillId="0" borderId="5" xfId="0" applyFill="1" applyBorder="1" applyAlignment="1">
      <alignment horizontal="right"/>
    </xf>
    <xf numFmtId="0" fontId="0" fillId="0" borderId="5" xfId="0" applyFill="1" applyBorder="1"/>
    <xf numFmtId="0" fontId="0" fillId="0" borderId="6" xfId="0" applyFill="1" applyBorder="1"/>
    <xf numFmtId="0" fontId="0" fillId="0" borderId="0" xfId="0" applyFill="1" applyAlignment="1">
      <alignment horizontal="center" wrapText="1"/>
    </xf>
    <xf numFmtId="0" fontId="0" fillId="0" borderId="0" xfId="0" applyNumberFormat="1" applyFont="1" applyFill="1" applyBorder="1" applyAlignment="1"/>
    <xf numFmtId="0" fontId="0" fillId="0" borderId="0" xfId="0" applyAlignment="1">
      <alignment horizontal="center" wrapText="1"/>
    </xf>
    <xf numFmtId="0" fontId="4" fillId="0" borderId="0" xfId="5" applyFont="1" applyBorder="1" applyAlignment="1"/>
    <xf numFmtId="0" fontId="8" fillId="2" borderId="1" xfId="6" applyFont="1" applyFill="1" applyBorder="1" applyAlignment="1"/>
    <xf numFmtId="0" fontId="9" fillId="2" borderId="1" xfId="6" applyFont="1" applyFill="1" applyBorder="1" applyAlignment="1"/>
    <xf numFmtId="0" fontId="9" fillId="2" borderId="1" xfId="6" applyFont="1" applyFill="1" applyBorder="1" applyAlignment="1">
      <alignment wrapText="1"/>
    </xf>
    <xf numFmtId="0" fontId="4" fillId="0" borderId="0" xfId="6" applyAlignment="1"/>
    <xf numFmtId="0" fontId="8" fillId="0" borderId="0" xfId="6" applyFont="1" applyAlignment="1"/>
    <xf numFmtId="0" fontId="9" fillId="0" borderId="0" xfId="6" applyFont="1" applyAlignment="1"/>
    <xf numFmtId="0" fontId="11" fillId="0" borderId="0" xfId="6" applyFont="1" applyAlignment="1"/>
    <xf numFmtId="0" fontId="12" fillId="0" borderId="0" xfId="6" applyFont="1" applyAlignment="1"/>
    <xf numFmtId="0" fontId="15" fillId="0" borderId="2" xfId="0" applyFont="1" applyFill="1" applyBorder="1" applyAlignment="1">
      <alignment horizontal="right"/>
    </xf>
    <xf numFmtId="0" fontId="1" fillId="0" borderId="0" xfId="6" applyFont="1" applyAlignment="1"/>
    <xf numFmtId="0" fontId="19" fillId="0" borderId="10" xfId="0" applyFont="1" applyBorder="1" applyAlignment="1">
      <alignment horizontal="center" wrapText="1"/>
    </xf>
    <xf numFmtId="0" fontId="20" fillId="0" borderId="10" xfId="0" applyFont="1" applyBorder="1" applyAlignment="1">
      <alignment horizontal="right" wrapText="1"/>
    </xf>
    <xf numFmtId="0" fontId="20" fillId="0" borderId="10" xfId="0" applyNumberFormat="1" applyFont="1" applyBorder="1" applyAlignment="1">
      <alignment horizontal="right" wrapText="1"/>
    </xf>
    <xf numFmtId="4" fontId="20" fillId="0" borderId="10" xfId="0" applyNumberFormat="1" applyFont="1" applyBorder="1" applyAlignment="1">
      <alignment horizontal="right" wrapText="1"/>
    </xf>
    <xf numFmtId="3" fontId="20" fillId="0" borderId="10" xfId="0" applyNumberFormat="1" applyFont="1" applyBorder="1" applyAlignment="1">
      <alignment horizontal="right" wrapText="1"/>
    </xf>
    <xf numFmtId="4" fontId="0" fillId="0" borderId="0" xfId="0" applyNumberFormat="1" applyAlignment="1">
      <alignment horizontal="center" wrapText="1"/>
    </xf>
    <xf numFmtId="49" fontId="21" fillId="0" borderId="1" xfId="0" applyNumberFormat="1" applyFont="1" applyFill="1" applyBorder="1" applyAlignment="1">
      <alignment vertical="top" wrapText="1"/>
    </xf>
    <xf numFmtId="49" fontId="21" fillId="4" borderId="1" xfId="0" applyNumberFormat="1" applyFont="1" applyFill="1" applyBorder="1" applyAlignment="1">
      <alignment vertical="top" wrapText="1"/>
    </xf>
    <xf numFmtId="0" fontId="20" fillId="0" borderId="11" xfId="0" applyFont="1" applyBorder="1" applyAlignment="1">
      <alignment horizontal="right" wrapText="1"/>
    </xf>
    <xf numFmtId="0" fontId="20" fillId="0" borderId="12" xfId="0" applyFont="1" applyBorder="1" applyAlignment="1">
      <alignment horizontal="right" wrapText="1"/>
    </xf>
    <xf numFmtId="0" fontId="20" fillId="0" borderId="13" xfId="0" applyFont="1" applyBorder="1" applyAlignment="1">
      <alignment horizontal="right" wrapText="1"/>
    </xf>
    <xf numFmtId="2" fontId="0" fillId="0" borderId="0" xfId="0" applyNumberFormat="1" applyFont="1" applyFill="1" applyBorder="1" applyAlignment="1"/>
    <xf numFmtId="2" fontId="0" fillId="0" borderId="0" xfId="0" applyNumberFormat="1"/>
    <xf numFmtId="2" fontId="0" fillId="0" borderId="0" xfId="0" applyNumberFormat="1" applyAlignment="1">
      <alignment horizontal="center" wrapText="1"/>
    </xf>
    <xf numFmtId="0" fontId="14" fillId="0" borderId="5" xfId="0" applyFont="1" applyBorder="1" applyAlignment="1">
      <alignment horizontal="center" vertical="center"/>
    </xf>
    <xf numFmtId="0" fontId="15" fillId="0" borderId="5" xfId="0" applyFont="1" applyFill="1" applyBorder="1" applyAlignment="1">
      <alignment horizontal="right" vertical="top"/>
    </xf>
    <xf numFmtId="0" fontId="0" fillId="0" borderId="2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5" xfId="0" applyFill="1" applyBorder="1" applyAlignment="1">
      <alignment horizontal="center"/>
    </xf>
  </cellXfs>
  <cellStyles count="11">
    <cellStyle name="Normal" xfId="0" builtinId="0"/>
    <cellStyle name="Normal_XDO_METADATA" xfId="2"/>
    <cellStyle name="常规 2" xfId="3"/>
    <cellStyle name="常规 3" xfId="4"/>
    <cellStyle name="常规 3 2" xfId="8"/>
    <cellStyle name="常规 3 3" xfId="10"/>
    <cellStyle name="常规 4" xfId="1"/>
    <cellStyle name="常规 4 2" xfId="6"/>
    <cellStyle name="常规 4 3" xfId="7"/>
    <cellStyle name="常规 4 4" xfId="9"/>
    <cellStyle name="常规 5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1"/>
  <sheetViews>
    <sheetView tabSelected="1" topLeftCell="A14" zoomScaleNormal="100" workbookViewId="0">
      <selection activeCell="N19" sqref="N19"/>
    </sheetView>
  </sheetViews>
  <sheetFormatPr defaultRowHeight="12.75"/>
  <cols>
    <col min="1" max="6" width="13" customWidth="1" collapsed="1"/>
    <col min="7" max="8" width="10" customWidth="1" collapsed="1"/>
    <col min="9" max="9" width="11.140625" customWidth="1" collapsed="1"/>
    <col min="10" max="10" width="10" customWidth="1" collapsed="1"/>
    <col min="11" max="11" width="5.85546875" customWidth="1"/>
    <col min="12" max="12" width="9.42578125" bestFit="1" customWidth="1"/>
  </cols>
  <sheetData>
    <row r="1" spans="1:13" ht="58.5" customHeight="1" thickBot="1">
      <c r="D1" s="52" t="s">
        <v>21</v>
      </c>
      <c r="E1" s="52" t="s">
        <v>29</v>
      </c>
      <c r="F1" s="53" t="s">
        <v>51</v>
      </c>
      <c r="G1" s="53" t="s">
        <v>29</v>
      </c>
      <c r="H1" s="53" t="s">
        <v>29</v>
      </c>
    </row>
    <row r="2" spans="1:13" ht="19.5" customHeight="1">
      <c r="A2" s="7" t="s">
        <v>22</v>
      </c>
      <c r="B2" s="54" t="s">
        <v>52</v>
      </c>
      <c r="C2" s="54" t="s">
        <v>29</v>
      </c>
      <c r="D2" s="54" t="s">
        <v>29</v>
      </c>
      <c r="E2" s="54" t="s">
        <v>29</v>
      </c>
      <c r="F2" s="54" t="s">
        <v>29</v>
      </c>
      <c r="G2" s="8" t="s">
        <v>23</v>
      </c>
      <c r="H2" s="54" t="s">
        <v>53</v>
      </c>
      <c r="I2" s="54" t="s">
        <v>29</v>
      </c>
      <c r="J2" s="57" t="s">
        <v>29</v>
      </c>
      <c r="K2" s="9" t="s">
        <v>29</v>
      </c>
      <c r="L2" s="9" t="s">
        <v>29</v>
      </c>
      <c r="M2" s="9" t="s">
        <v>29</v>
      </c>
    </row>
    <row r="3" spans="1:13" ht="15.95" customHeight="1">
      <c r="A3" s="10" t="s">
        <v>24</v>
      </c>
      <c r="B3" s="55" t="s">
        <v>54</v>
      </c>
      <c r="C3" s="55" t="s">
        <v>29</v>
      </c>
      <c r="D3" s="55" t="s">
        <v>29</v>
      </c>
      <c r="E3" s="55" t="s">
        <v>29</v>
      </c>
      <c r="F3" s="55" t="s">
        <v>29</v>
      </c>
      <c r="G3" s="11" t="s">
        <v>25</v>
      </c>
      <c r="H3" s="55" t="s">
        <v>55</v>
      </c>
      <c r="I3" s="55" t="s">
        <v>29</v>
      </c>
      <c r="J3" s="58" t="s">
        <v>29</v>
      </c>
      <c r="K3" s="9" t="s">
        <v>29</v>
      </c>
      <c r="L3" s="9" t="s">
        <v>29</v>
      </c>
      <c r="M3" s="9" t="s">
        <v>29</v>
      </c>
    </row>
    <row r="4" spans="1:13" ht="15.95" customHeight="1">
      <c r="A4" s="10" t="s">
        <v>26</v>
      </c>
      <c r="B4" s="55" t="s">
        <v>56</v>
      </c>
      <c r="C4" s="55" t="s">
        <v>29</v>
      </c>
      <c r="D4" s="55" t="s">
        <v>29</v>
      </c>
      <c r="E4" s="55" t="s">
        <v>29</v>
      </c>
      <c r="F4" s="55" t="s">
        <v>29</v>
      </c>
      <c r="G4" s="11" t="s">
        <v>27</v>
      </c>
      <c r="H4" s="55" t="s">
        <v>57</v>
      </c>
      <c r="I4" s="55" t="s">
        <v>29</v>
      </c>
      <c r="J4" s="58" t="s">
        <v>29</v>
      </c>
      <c r="K4" s="9" t="s">
        <v>29</v>
      </c>
      <c r="L4" s="9" t="s">
        <v>29</v>
      </c>
      <c r="M4" s="9" t="s">
        <v>29</v>
      </c>
    </row>
    <row r="5" spans="1:13" ht="15.95" customHeight="1">
      <c r="A5" s="10" t="s">
        <v>28</v>
      </c>
      <c r="B5" s="55" t="s">
        <v>58</v>
      </c>
      <c r="C5" s="55" t="s">
        <v>29</v>
      </c>
      <c r="D5" s="55" t="s">
        <v>29</v>
      </c>
      <c r="E5" s="55" t="s">
        <v>29</v>
      </c>
      <c r="F5" s="55" t="s">
        <v>29</v>
      </c>
      <c r="G5" s="11" t="s">
        <v>30</v>
      </c>
      <c r="H5" s="55" t="s">
        <v>59</v>
      </c>
      <c r="I5" s="55" t="s">
        <v>29</v>
      </c>
      <c r="J5" s="58" t="s">
        <v>29</v>
      </c>
      <c r="K5" s="9" t="s">
        <v>29</v>
      </c>
      <c r="L5" s="9" t="s">
        <v>29</v>
      </c>
      <c r="M5" s="9" t="s">
        <v>29</v>
      </c>
    </row>
    <row r="6" spans="1:13" ht="15.95" customHeight="1" thickBot="1">
      <c r="A6" s="12" t="s">
        <v>29</v>
      </c>
      <c r="B6" s="13" t="s">
        <v>29</v>
      </c>
      <c r="C6" s="13" t="s">
        <v>29</v>
      </c>
      <c r="D6" s="13" t="s">
        <v>29</v>
      </c>
      <c r="E6" s="13" t="s">
        <v>29</v>
      </c>
      <c r="F6" s="13" t="s">
        <v>29</v>
      </c>
      <c r="G6" s="11" t="s">
        <v>31</v>
      </c>
      <c r="H6" s="59" t="s">
        <v>29</v>
      </c>
      <c r="I6" s="59" t="s">
        <v>29</v>
      </c>
      <c r="J6" s="14" t="s">
        <v>29</v>
      </c>
      <c r="K6" s="9" t="s">
        <v>29</v>
      </c>
      <c r="L6" s="9" t="s">
        <v>29</v>
      </c>
      <c r="M6" s="9" t="s">
        <v>29</v>
      </c>
    </row>
    <row r="7" spans="1:13" ht="15.95" customHeight="1">
      <c r="A7" s="7" t="s">
        <v>60</v>
      </c>
      <c r="B7" s="54" t="s">
        <v>61</v>
      </c>
      <c r="C7" s="54" t="s">
        <v>29</v>
      </c>
      <c r="D7" s="54" t="s">
        <v>29</v>
      </c>
      <c r="E7" s="54" t="s">
        <v>29</v>
      </c>
      <c r="F7" s="54" t="s">
        <v>29</v>
      </c>
      <c r="G7" s="36" t="s">
        <v>32</v>
      </c>
      <c r="H7" s="54" t="s">
        <v>62</v>
      </c>
      <c r="I7" s="54" t="s">
        <v>29</v>
      </c>
      <c r="J7" s="57" t="s">
        <v>29</v>
      </c>
      <c r="K7" s="9" t="s">
        <v>29</v>
      </c>
      <c r="L7" s="9" t="s">
        <v>29</v>
      </c>
      <c r="M7" s="9" t="s">
        <v>29</v>
      </c>
    </row>
    <row r="8" spans="1:13" ht="15.95" customHeight="1">
      <c r="A8" s="11" t="s">
        <v>12</v>
      </c>
      <c r="B8" s="55" t="s">
        <v>63</v>
      </c>
      <c r="C8" s="55" t="s">
        <v>29</v>
      </c>
      <c r="D8" s="55" t="s">
        <v>29</v>
      </c>
      <c r="E8" s="55" t="s">
        <v>29</v>
      </c>
      <c r="F8" s="55" t="s">
        <v>29</v>
      </c>
      <c r="G8" s="11" t="s">
        <v>64</v>
      </c>
      <c r="H8" s="55" t="s">
        <v>65</v>
      </c>
      <c r="I8" s="55" t="s">
        <v>29</v>
      </c>
      <c r="J8" s="58" t="s">
        <v>29</v>
      </c>
      <c r="K8" s="9" t="s">
        <v>29</v>
      </c>
      <c r="L8" s="9" t="s">
        <v>29</v>
      </c>
      <c r="M8" s="9" t="s">
        <v>29</v>
      </c>
    </row>
    <row r="9" spans="1:13" ht="17.25" customHeight="1">
      <c r="A9" s="11" t="s">
        <v>13</v>
      </c>
      <c r="B9" s="55" t="s">
        <v>66</v>
      </c>
      <c r="C9" s="55" t="s">
        <v>29</v>
      </c>
      <c r="D9" s="55" t="s">
        <v>29</v>
      </c>
      <c r="E9" s="55" t="s">
        <v>29</v>
      </c>
      <c r="F9" s="55" t="s">
        <v>29</v>
      </c>
      <c r="G9" s="11" t="s">
        <v>67</v>
      </c>
      <c r="H9" s="55" t="s">
        <v>68</v>
      </c>
      <c r="I9" s="55" t="s">
        <v>29</v>
      </c>
      <c r="J9" s="58" t="s">
        <v>29</v>
      </c>
      <c r="K9" s="9" t="s">
        <v>29</v>
      </c>
      <c r="L9" s="9" t="s">
        <v>29</v>
      </c>
      <c r="M9" s="9" t="s">
        <v>29</v>
      </c>
    </row>
    <row r="10" spans="1:13" ht="17.25" customHeight="1">
      <c r="A10" s="5" t="s">
        <v>16</v>
      </c>
      <c r="B10" s="15" t="s">
        <v>69</v>
      </c>
      <c r="C10" s="16" t="s">
        <v>29</v>
      </c>
      <c r="D10" s="16" t="s">
        <v>29</v>
      </c>
      <c r="E10" s="16" t="s">
        <v>29</v>
      </c>
      <c r="F10" s="16" t="s">
        <v>29</v>
      </c>
      <c r="G10" s="11" t="s">
        <v>29</v>
      </c>
      <c r="H10" s="17" t="s">
        <v>29</v>
      </c>
      <c r="I10" s="17" t="s">
        <v>29</v>
      </c>
      <c r="J10" s="18" t="s">
        <v>29</v>
      </c>
      <c r="K10" s="9" t="s">
        <v>29</v>
      </c>
      <c r="L10" s="9" t="s">
        <v>29</v>
      </c>
      <c r="M10" s="9" t="s">
        <v>29</v>
      </c>
    </row>
    <row r="11" spans="1:13" ht="17.25" customHeight="1">
      <c r="A11" s="11" t="s">
        <v>14</v>
      </c>
      <c r="B11" s="15" t="s">
        <v>29</v>
      </c>
      <c r="C11" s="16" t="s">
        <v>29</v>
      </c>
      <c r="D11" s="16" t="s">
        <v>29</v>
      </c>
      <c r="E11" s="16" t="s">
        <v>29</v>
      </c>
      <c r="F11" s="16" t="s">
        <v>29</v>
      </c>
      <c r="G11" s="11" t="s">
        <v>29</v>
      </c>
      <c r="H11" s="17" t="s">
        <v>29</v>
      </c>
      <c r="I11" s="17" t="s">
        <v>29</v>
      </c>
      <c r="J11" s="18" t="s">
        <v>29</v>
      </c>
      <c r="K11" s="9" t="s">
        <v>29</v>
      </c>
      <c r="L11" s="9" t="s">
        <v>29</v>
      </c>
      <c r="M11" s="9" t="s">
        <v>29</v>
      </c>
    </row>
    <row r="12" spans="1:13" ht="17.25" customHeight="1">
      <c r="A12" s="11" t="s">
        <v>15</v>
      </c>
      <c r="B12" s="55" t="s">
        <v>70</v>
      </c>
      <c r="C12" s="55" t="s">
        <v>29</v>
      </c>
      <c r="D12" s="55" t="s">
        <v>29</v>
      </c>
      <c r="E12" s="55" t="s">
        <v>29</v>
      </c>
      <c r="F12" s="55" t="s">
        <v>29</v>
      </c>
      <c r="G12" s="55" t="s">
        <v>29</v>
      </c>
      <c r="H12" s="55" t="s">
        <v>29</v>
      </c>
      <c r="I12" s="55" t="s">
        <v>29</v>
      </c>
      <c r="J12" s="18" t="s">
        <v>29</v>
      </c>
      <c r="K12" s="9" t="s">
        <v>29</v>
      </c>
      <c r="L12" s="9" t="s">
        <v>29</v>
      </c>
      <c r="M12" s="9" t="s">
        <v>29</v>
      </c>
    </row>
    <row r="13" spans="1:13" ht="15.95" customHeight="1" thickBot="1">
      <c r="A13" s="10" t="s">
        <v>17</v>
      </c>
      <c r="B13" s="56" t="s">
        <v>71</v>
      </c>
      <c r="C13" s="56" t="s">
        <v>29</v>
      </c>
      <c r="D13" s="56" t="s">
        <v>29</v>
      </c>
      <c r="E13" s="56" t="s">
        <v>29</v>
      </c>
      <c r="F13" s="56" t="s">
        <v>29</v>
      </c>
      <c r="G13" s="56" t="s">
        <v>29</v>
      </c>
      <c r="H13" s="56" t="s">
        <v>29</v>
      </c>
      <c r="I13" s="56" t="s">
        <v>29</v>
      </c>
      <c r="J13" s="18" t="s">
        <v>29</v>
      </c>
      <c r="K13" s="9" t="s">
        <v>29</v>
      </c>
      <c r="L13" s="9" t="s">
        <v>29</v>
      </c>
      <c r="M13" s="9" t="s">
        <v>29</v>
      </c>
    </row>
    <row r="14" spans="1:13" ht="15.95" customHeight="1">
      <c r="A14" s="7" t="s">
        <v>33</v>
      </c>
      <c r="B14" s="54" t="s">
        <v>72</v>
      </c>
      <c r="C14" s="54" t="s">
        <v>29</v>
      </c>
      <c r="D14" s="54" t="s">
        <v>29</v>
      </c>
      <c r="E14" s="54" t="s">
        <v>29</v>
      </c>
      <c r="F14" s="54" t="s">
        <v>29</v>
      </c>
      <c r="G14" s="8" t="s">
        <v>34</v>
      </c>
      <c r="H14" s="54" t="s">
        <v>73</v>
      </c>
      <c r="I14" s="54" t="s">
        <v>29</v>
      </c>
      <c r="J14" s="57" t="s">
        <v>29</v>
      </c>
      <c r="K14" s="9" t="s">
        <v>29</v>
      </c>
      <c r="L14" s="9" t="s">
        <v>29</v>
      </c>
      <c r="M14" s="9" t="s">
        <v>29</v>
      </c>
    </row>
    <row r="15" spans="1:13" ht="15.95" customHeight="1">
      <c r="A15" s="10" t="s">
        <v>35</v>
      </c>
      <c r="B15" s="55" t="s">
        <v>74</v>
      </c>
      <c r="C15" s="55" t="s">
        <v>29</v>
      </c>
      <c r="D15" s="55" t="s">
        <v>29</v>
      </c>
      <c r="E15" s="55" t="s">
        <v>29</v>
      </c>
      <c r="F15" s="55" t="s">
        <v>29</v>
      </c>
      <c r="G15" s="11" t="s">
        <v>36</v>
      </c>
      <c r="H15" s="55" t="s">
        <v>73</v>
      </c>
      <c r="I15" s="55" t="s">
        <v>29</v>
      </c>
      <c r="J15" s="58" t="s">
        <v>29</v>
      </c>
      <c r="K15" s="9" t="s">
        <v>29</v>
      </c>
      <c r="L15" s="9" t="s">
        <v>29</v>
      </c>
      <c r="M15" s="9" t="s">
        <v>29</v>
      </c>
    </row>
    <row r="16" spans="1:13" ht="15.95" customHeight="1" thickBot="1">
      <c r="A16" s="19" t="s">
        <v>37</v>
      </c>
      <c r="B16" s="56" t="s">
        <v>75</v>
      </c>
      <c r="C16" s="56" t="s">
        <v>29</v>
      </c>
      <c r="D16" s="56" t="s">
        <v>29</v>
      </c>
      <c r="E16" s="56" t="s">
        <v>29</v>
      </c>
      <c r="F16" s="56" t="s">
        <v>29</v>
      </c>
      <c r="G16" s="20" t="s">
        <v>38</v>
      </c>
      <c r="H16" s="55" t="s">
        <v>73</v>
      </c>
      <c r="I16" s="55" t="s">
        <v>29</v>
      </c>
      <c r="J16" s="58" t="s">
        <v>29</v>
      </c>
      <c r="K16" s="9" t="s">
        <v>29</v>
      </c>
      <c r="L16" s="9" t="s">
        <v>29</v>
      </c>
      <c r="M16" s="9" t="s">
        <v>29</v>
      </c>
    </row>
    <row r="17" spans="1:13" ht="15.95" customHeight="1">
      <c r="A17" s="7" t="s">
        <v>39</v>
      </c>
      <c r="B17" s="54" t="s">
        <v>72</v>
      </c>
      <c r="C17" s="54" t="s">
        <v>29</v>
      </c>
      <c r="D17" s="54" t="s">
        <v>29</v>
      </c>
      <c r="E17" s="54" t="s">
        <v>29</v>
      </c>
      <c r="F17" s="54" t="s">
        <v>29</v>
      </c>
      <c r="G17" s="8" t="s">
        <v>19</v>
      </c>
      <c r="H17" s="54" t="s">
        <v>74</v>
      </c>
      <c r="I17" s="54" t="s">
        <v>29</v>
      </c>
      <c r="J17" s="57" t="s">
        <v>29</v>
      </c>
      <c r="K17" s="9" t="s">
        <v>29</v>
      </c>
      <c r="L17" s="9" t="s">
        <v>29</v>
      </c>
      <c r="M17" s="9" t="s">
        <v>29</v>
      </c>
    </row>
    <row r="18" spans="1:13" ht="15.95" customHeight="1" thickBot="1">
      <c r="A18" s="19" t="s">
        <v>18</v>
      </c>
      <c r="B18" s="56" t="s">
        <v>75</v>
      </c>
      <c r="C18" s="56" t="s">
        <v>29</v>
      </c>
      <c r="D18" s="56" t="s">
        <v>29</v>
      </c>
      <c r="E18" s="56" t="s">
        <v>29</v>
      </c>
      <c r="F18" s="56" t="s">
        <v>29</v>
      </c>
      <c r="G18" s="21" t="s">
        <v>29</v>
      </c>
      <c r="H18" s="22" t="s">
        <v>29</v>
      </c>
      <c r="I18" s="22" t="s">
        <v>29</v>
      </c>
      <c r="J18" s="23" t="s">
        <v>29</v>
      </c>
      <c r="K18" s="9" t="s">
        <v>29</v>
      </c>
      <c r="L18" s="9" t="s">
        <v>29</v>
      </c>
      <c r="M18" s="9" t="s">
        <v>29</v>
      </c>
    </row>
    <row r="19" spans="1:13">
      <c r="A19" s="10" t="s">
        <v>113</v>
      </c>
      <c r="B19" s="9" t="s">
        <v>114</v>
      </c>
      <c r="C19" s="9" t="s">
        <v>115</v>
      </c>
      <c r="D19" s="9" t="s">
        <v>116</v>
      </c>
      <c r="E19" s="15" t="s">
        <v>117</v>
      </c>
      <c r="F19" s="15" t="s">
        <v>118</v>
      </c>
      <c r="G19" s="11" t="s">
        <v>119</v>
      </c>
      <c r="H19" s="15" t="s">
        <v>120</v>
      </c>
      <c r="I19" s="15" t="s">
        <v>121</v>
      </c>
      <c r="J19" s="15" t="s">
        <v>122</v>
      </c>
      <c r="K19" s="15" t="s">
        <v>123</v>
      </c>
      <c r="L19" s="15" t="s">
        <v>124</v>
      </c>
      <c r="M19" s="9" t="s">
        <v>29</v>
      </c>
    </row>
    <row r="20" spans="1:13" ht="42" customHeight="1" thickBot="1">
      <c r="A20" s="4" t="s">
        <v>76</v>
      </c>
      <c r="B20" s="4" t="s">
        <v>40</v>
      </c>
      <c r="C20" s="4" t="s">
        <v>77</v>
      </c>
      <c r="D20" s="4" t="s">
        <v>11</v>
      </c>
      <c r="E20" s="4" t="s">
        <v>41</v>
      </c>
      <c r="F20" s="4" t="s">
        <v>78</v>
      </c>
      <c r="G20" s="4" t="s">
        <v>79</v>
      </c>
      <c r="H20" s="4" t="s">
        <v>80</v>
      </c>
      <c r="I20" s="4" t="s">
        <v>20</v>
      </c>
      <c r="J20" s="4" t="s">
        <v>81</v>
      </c>
      <c r="K20" s="24" t="s">
        <v>29</v>
      </c>
      <c r="L20" s="9" t="s">
        <v>29</v>
      </c>
      <c r="M20" s="9" t="s">
        <v>29</v>
      </c>
    </row>
    <row r="21" spans="1:13" s="25" customFormat="1" ht="33" customHeight="1">
      <c r="A21" s="38" t="s">
        <v>82</v>
      </c>
      <c r="B21" s="44" t="s">
        <v>109</v>
      </c>
      <c r="C21" s="38" t="s">
        <v>83</v>
      </c>
      <c r="D21" s="38" t="s">
        <v>84</v>
      </c>
      <c r="E21" s="38" t="s">
        <v>85</v>
      </c>
      <c r="F21" s="46">
        <f>ROUND(H21*J21,2)-0.03</f>
        <v>146604.36000000002</v>
      </c>
      <c r="G21" s="38" t="s">
        <v>86</v>
      </c>
      <c r="H21" s="39">
        <v>2285.69</v>
      </c>
      <c r="I21" s="41">
        <v>2285.69</v>
      </c>
      <c r="J21" s="38">
        <v>64.140100000000004</v>
      </c>
      <c r="K21" s="25">
        <v>1.2</v>
      </c>
      <c r="L21" s="49">
        <f>ROUND(K21*F21*G21,2)</f>
        <v>175925.23</v>
      </c>
    </row>
    <row r="22" spans="1:13" s="25" customFormat="1" ht="33" customHeight="1">
      <c r="A22" s="38" t="s">
        <v>87</v>
      </c>
      <c r="B22" s="44" t="s">
        <v>110</v>
      </c>
      <c r="C22" s="38" t="s">
        <v>88</v>
      </c>
      <c r="D22" s="38" t="s">
        <v>84</v>
      </c>
      <c r="E22" s="38" t="s">
        <v>89</v>
      </c>
      <c r="F22" s="47">
        <f>ROUND(H22*J22,2)-0.03</f>
        <v>250646.01</v>
      </c>
      <c r="G22" s="38" t="s">
        <v>86</v>
      </c>
      <c r="H22" s="39">
        <v>3907.79</v>
      </c>
      <c r="I22" s="41">
        <v>3907.79</v>
      </c>
      <c r="J22" s="38">
        <v>64.140100000000004</v>
      </c>
      <c r="K22" s="25">
        <v>1.2</v>
      </c>
      <c r="L22" s="49">
        <f t="shared" ref="L22:L27" si="0">ROUND(K22*F22*G22,2)</f>
        <v>300775.21000000002</v>
      </c>
    </row>
    <row r="23" spans="1:13" s="25" customFormat="1" ht="33" customHeight="1">
      <c r="A23" s="38" t="s">
        <v>90</v>
      </c>
      <c r="B23" s="44" t="s">
        <v>107</v>
      </c>
      <c r="C23" s="38" t="s">
        <v>91</v>
      </c>
      <c r="D23" s="38" t="s">
        <v>84</v>
      </c>
      <c r="E23" s="38" t="s">
        <v>92</v>
      </c>
      <c r="F23" s="47">
        <f>ROUND(H23*J23,2)-0.03</f>
        <v>2185.2199999999998</v>
      </c>
      <c r="G23" s="38" t="s">
        <v>86</v>
      </c>
      <c r="H23" s="39">
        <v>34.07</v>
      </c>
      <c r="I23" s="40">
        <v>34.07</v>
      </c>
      <c r="J23" s="38">
        <v>64.140100000000004</v>
      </c>
      <c r="K23" s="25">
        <v>1.2</v>
      </c>
      <c r="L23" s="49">
        <f t="shared" si="0"/>
        <v>2622.26</v>
      </c>
    </row>
    <row r="24" spans="1:13" ht="33" customHeight="1">
      <c r="A24" s="38" t="s">
        <v>93</v>
      </c>
      <c r="B24" s="44" t="s">
        <v>108</v>
      </c>
      <c r="C24" s="38" t="s">
        <v>94</v>
      </c>
      <c r="D24" s="38" t="s">
        <v>84</v>
      </c>
      <c r="E24" s="38" t="s">
        <v>95</v>
      </c>
      <c r="F24" s="47">
        <f>ROUND(H24*J24,2)-0.03</f>
        <v>15827.82</v>
      </c>
      <c r="G24" s="38" t="s">
        <v>86</v>
      </c>
      <c r="H24" s="39">
        <v>246.77</v>
      </c>
      <c r="I24" s="40">
        <v>246.77</v>
      </c>
      <c r="J24" s="38">
        <v>64.140100000000004</v>
      </c>
      <c r="K24" s="25">
        <v>1.2</v>
      </c>
      <c r="L24" s="49">
        <f t="shared" si="0"/>
        <v>18993.38</v>
      </c>
      <c r="M24" s="9" t="s">
        <v>29</v>
      </c>
    </row>
    <row r="25" spans="1:13" ht="33" customHeight="1">
      <c r="A25" s="38" t="s">
        <v>96</v>
      </c>
      <c r="B25" s="45" t="s">
        <v>111</v>
      </c>
      <c r="C25" s="38" t="s">
        <v>97</v>
      </c>
      <c r="D25" s="38" t="s">
        <v>84</v>
      </c>
      <c r="E25" s="38" t="s">
        <v>98</v>
      </c>
      <c r="F25" s="47">
        <f>ROUND(H25*J25,2)-0.02</f>
        <v>57874.880000000005</v>
      </c>
      <c r="G25" s="38" t="s">
        <v>86</v>
      </c>
      <c r="H25" s="39">
        <v>902.32</v>
      </c>
      <c r="I25" s="40">
        <v>902.32</v>
      </c>
      <c r="J25" s="38">
        <v>64.140100000000004</v>
      </c>
      <c r="K25" s="25">
        <v>1.2</v>
      </c>
      <c r="L25" s="49">
        <f t="shared" si="0"/>
        <v>69449.86</v>
      </c>
      <c r="M25" s="9"/>
    </row>
    <row r="26" spans="1:13" ht="33" customHeight="1">
      <c r="A26" s="38" t="s">
        <v>99</v>
      </c>
      <c r="B26" s="45" t="s">
        <v>112</v>
      </c>
      <c r="C26" s="38" t="s">
        <v>100</v>
      </c>
      <c r="D26" s="38" t="s">
        <v>84</v>
      </c>
      <c r="E26" s="38" t="s">
        <v>101</v>
      </c>
      <c r="F26" s="47">
        <f>ROUND(H26*J26,2)-0.03</f>
        <v>23742.710000000003</v>
      </c>
      <c r="G26" s="38" t="s">
        <v>86</v>
      </c>
      <c r="H26" s="39">
        <v>370.17</v>
      </c>
      <c r="I26" s="40">
        <v>370.17</v>
      </c>
      <c r="J26" s="38">
        <v>64.140100000000004</v>
      </c>
      <c r="K26" s="25">
        <v>1.2</v>
      </c>
      <c r="L26" s="49">
        <f t="shared" si="0"/>
        <v>28491.25</v>
      </c>
    </row>
    <row r="27" spans="1:13" ht="33" customHeight="1" thickBot="1">
      <c r="A27" s="38" t="s">
        <v>102</v>
      </c>
      <c r="B27" s="44" t="s">
        <v>106</v>
      </c>
      <c r="C27" s="38" t="s">
        <v>103</v>
      </c>
      <c r="D27" s="38" t="s">
        <v>84</v>
      </c>
      <c r="E27" s="38" t="s">
        <v>104</v>
      </c>
      <c r="F27" s="48">
        <f t="shared" ref="F27" si="1">ROUND(H27*J27,2)</f>
        <v>5923.34</v>
      </c>
      <c r="G27" s="38" t="s">
        <v>105</v>
      </c>
      <c r="H27" s="39">
        <v>92.35</v>
      </c>
      <c r="I27" s="42">
        <v>3694</v>
      </c>
      <c r="J27" s="38">
        <v>64.140100000000004</v>
      </c>
      <c r="K27" s="25">
        <v>1.2</v>
      </c>
      <c r="L27" s="49">
        <f t="shared" si="0"/>
        <v>284320.32</v>
      </c>
    </row>
    <row r="28" spans="1:13">
      <c r="A28" s="24"/>
      <c r="B28" s="24"/>
      <c r="C28" s="24"/>
      <c r="D28" s="24"/>
      <c r="E28" s="24"/>
      <c r="F28" s="24"/>
      <c r="G28" s="24"/>
      <c r="H28" s="24"/>
      <c r="I28" s="24"/>
      <c r="J28" s="26"/>
    </row>
    <row r="29" spans="1:13">
      <c r="A29" s="24"/>
      <c r="B29" s="24"/>
      <c r="C29" s="24"/>
      <c r="D29" s="24"/>
      <c r="E29" s="24"/>
      <c r="F29" s="24"/>
      <c r="G29" s="24"/>
      <c r="H29" s="24"/>
      <c r="I29" s="24"/>
      <c r="J29" s="26"/>
    </row>
    <row r="30" spans="1:13">
      <c r="A30" s="24"/>
      <c r="B30" s="24"/>
      <c r="C30" s="24"/>
      <c r="D30" s="24"/>
      <c r="E30" s="24"/>
      <c r="F30" s="24"/>
      <c r="G30" s="24"/>
      <c r="H30" s="24"/>
      <c r="I30" s="24"/>
      <c r="J30" s="26"/>
    </row>
    <row r="31" spans="1:13">
      <c r="A31" s="24"/>
      <c r="B31" s="24"/>
      <c r="C31" s="24"/>
      <c r="D31" s="24"/>
      <c r="E31" s="24"/>
      <c r="F31" s="24"/>
      <c r="G31" s="24"/>
      <c r="H31" s="24"/>
      <c r="I31" s="24"/>
      <c r="J31" s="26"/>
    </row>
    <row r="32" spans="1:13">
      <c r="A32" s="26"/>
      <c r="B32" s="26"/>
      <c r="C32" s="26"/>
      <c r="D32" s="26"/>
      <c r="E32" s="26"/>
      <c r="F32" s="26"/>
      <c r="G32" s="26"/>
      <c r="H32" s="26"/>
      <c r="I32" s="43">
        <f>SUM(I21:I31)</f>
        <v>11440.81</v>
      </c>
      <c r="J32" s="26"/>
      <c r="L32" s="50">
        <f>SUM(L21:L31)</f>
        <v>880577.51</v>
      </c>
    </row>
    <row r="33" spans="1:10">
      <c r="A33" s="26"/>
      <c r="B33" s="26"/>
      <c r="C33" s="26"/>
      <c r="D33" s="26"/>
      <c r="E33" s="26"/>
      <c r="F33" s="26"/>
      <c r="G33" s="26"/>
      <c r="H33" s="26"/>
      <c r="I33" s="26">
        <f>ROUND(I32*K27,2)</f>
        <v>13728.97</v>
      </c>
      <c r="J33" s="26"/>
    </row>
    <row r="34" spans="1:10">
      <c r="A34" s="26"/>
      <c r="B34" s="26"/>
      <c r="C34" s="26"/>
      <c r="D34" s="26"/>
      <c r="E34" s="26"/>
      <c r="F34" s="26"/>
      <c r="G34" s="26"/>
      <c r="H34" s="26"/>
      <c r="I34" s="51">
        <f>I33*J27</f>
        <v>880577.50869699998</v>
      </c>
      <c r="J34" s="26"/>
    </row>
    <row r="35" spans="1:10">
      <c r="A35" s="26"/>
      <c r="B35" s="26"/>
      <c r="C35" s="26"/>
      <c r="D35" s="26"/>
      <c r="E35" s="26"/>
      <c r="F35" s="26"/>
      <c r="G35" s="26"/>
      <c r="H35" s="26"/>
      <c r="I35" s="26"/>
      <c r="J35" s="26"/>
    </row>
    <row r="36" spans="1:10">
      <c r="A36" s="26"/>
      <c r="B36" s="26"/>
      <c r="C36" s="26"/>
      <c r="D36" s="26"/>
      <c r="E36" s="26"/>
      <c r="F36" s="26"/>
      <c r="G36" s="26"/>
      <c r="H36" s="26"/>
      <c r="I36" s="26"/>
      <c r="J36" s="26"/>
    </row>
    <row r="37" spans="1:10" ht="15">
      <c r="A37" s="26"/>
      <c r="B37" s="27"/>
      <c r="C37" s="6"/>
      <c r="D37" s="6"/>
      <c r="E37" s="6"/>
      <c r="F37" s="6"/>
      <c r="G37" s="6"/>
      <c r="H37" s="6"/>
      <c r="I37" s="6"/>
      <c r="J37" s="26"/>
    </row>
    <row r="38" spans="1:10">
      <c r="A38" s="26"/>
      <c r="B38" s="26"/>
      <c r="C38" s="26"/>
      <c r="D38" s="26"/>
      <c r="E38" s="26"/>
      <c r="F38" s="26"/>
      <c r="G38" s="26"/>
      <c r="H38" s="26"/>
      <c r="I38" s="26"/>
      <c r="J38" s="26"/>
    </row>
    <row r="39" spans="1:10">
      <c r="A39" s="26"/>
      <c r="B39" s="26"/>
      <c r="C39" s="26"/>
      <c r="D39" s="26"/>
      <c r="E39" s="26"/>
      <c r="F39" s="26"/>
      <c r="G39" s="26"/>
      <c r="H39" s="26"/>
      <c r="I39" s="26"/>
      <c r="J39" s="26"/>
    </row>
    <row r="40" spans="1:10">
      <c r="A40" s="26"/>
      <c r="B40" s="26"/>
      <c r="C40" s="26"/>
      <c r="D40" s="26"/>
      <c r="E40" s="26"/>
      <c r="F40" s="26"/>
      <c r="G40" s="26"/>
      <c r="H40" s="26"/>
      <c r="I40" s="26"/>
      <c r="J40" s="26"/>
    </row>
    <row r="41" spans="1:10">
      <c r="A41" s="26"/>
      <c r="B41" s="26"/>
      <c r="C41" s="26"/>
      <c r="D41" s="26"/>
      <c r="E41" s="26"/>
      <c r="F41" s="26"/>
      <c r="G41" s="26"/>
      <c r="H41" s="26"/>
      <c r="I41" s="26"/>
      <c r="J41" s="26"/>
    </row>
    <row r="42" spans="1:10">
      <c r="A42" s="26"/>
      <c r="B42" s="26"/>
      <c r="C42" s="26"/>
      <c r="D42" s="26"/>
      <c r="E42" s="26"/>
      <c r="F42" s="26"/>
      <c r="G42" s="26"/>
      <c r="H42" s="26"/>
      <c r="I42" s="26"/>
      <c r="J42" s="26"/>
    </row>
    <row r="43" spans="1:10">
      <c r="A43" s="26"/>
      <c r="B43" s="26"/>
      <c r="C43" s="26"/>
      <c r="D43" s="26"/>
      <c r="E43" s="26"/>
      <c r="F43" s="26"/>
      <c r="G43" s="26"/>
      <c r="H43" s="26"/>
      <c r="I43" s="26"/>
      <c r="J43" s="26"/>
    </row>
    <row r="44" spans="1:10">
      <c r="A44" s="26"/>
      <c r="B44" s="26"/>
      <c r="C44" s="26"/>
      <c r="D44" s="26"/>
      <c r="E44" s="26"/>
      <c r="F44" s="26"/>
      <c r="G44" s="26"/>
      <c r="H44" s="26"/>
      <c r="I44" s="26"/>
      <c r="J44" s="26"/>
    </row>
    <row r="45" spans="1:10">
      <c r="A45" s="26"/>
      <c r="B45" s="26"/>
      <c r="C45" s="26"/>
      <c r="D45" s="26"/>
      <c r="E45" s="26"/>
      <c r="F45" s="26"/>
      <c r="G45" s="26"/>
      <c r="H45" s="26"/>
      <c r="I45" s="26"/>
      <c r="J45" s="26"/>
    </row>
    <row r="46" spans="1:10">
      <c r="A46" s="26"/>
      <c r="B46" s="26"/>
      <c r="C46" s="26"/>
      <c r="D46" s="26"/>
      <c r="E46" s="26"/>
      <c r="F46" s="26"/>
      <c r="G46" s="26"/>
      <c r="H46" s="26"/>
      <c r="I46" s="26"/>
      <c r="J46" s="26"/>
    </row>
    <row r="47" spans="1:10">
      <c r="A47" s="26"/>
      <c r="B47" s="26"/>
      <c r="C47" s="26"/>
      <c r="D47" s="26"/>
      <c r="E47" s="26"/>
      <c r="F47" s="26"/>
      <c r="G47" s="26"/>
      <c r="H47" s="26"/>
      <c r="I47" s="26"/>
      <c r="J47" s="26"/>
    </row>
    <row r="48" spans="1:10">
      <c r="A48" s="26"/>
      <c r="B48" s="26"/>
      <c r="C48" s="26"/>
      <c r="D48" s="26"/>
      <c r="E48" s="26"/>
      <c r="F48" s="26"/>
      <c r="G48" s="26"/>
      <c r="H48" s="26"/>
      <c r="I48" s="26"/>
      <c r="J48" s="26"/>
    </row>
    <row r="49" spans="1:10">
      <c r="A49" s="26"/>
      <c r="B49" s="26"/>
      <c r="C49" s="26"/>
      <c r="D49" s="26"/>
      <c r="E49" s="26"/>
      <c r="F49" s="26"/>
      <c r="G49" s="26"/>
      <c r="H49" s="26"/>
      <c r="I49" s="26"/>
      <c r="J49" s="26"/>
    </row>
    <row r="50" spans="1:10">
      <c r="A50" s="26"/>
      <c r="B50" s="26"/>
      <c r="C50" s="26"/>
      <c r="D50" s="26"/>
      <c r="E50" s="26"/>
      <c r="F50" s="26"/>
      <c r="G50" s="26"/>
      <c r="H50" s="26"/>
      <c r="I50" s="26"/>
      <c r="J50" s="26"/>
    </row>
    <row r="51" spans="1:10">
      <c r="A51" s="26"/>
      <c r="B51" s="26"/>
      <c r="C51" s="26"/>
      <c r="D51" s="26"/>
      <c r="E51" s="26"/>
      <c r="F51" s="26"/>
      <c r="G51" s="26"/>
      <c r="H51" s="26"/>
      <c r="I51" s="26"/>
      <c r="J51" s="26"/>
    </row>
    <row r="52" spans="1:10">
      <c r="A52" s="26"/>
      <c r="B52" s="26"/>
      <c r="C52" s="26"/>
      <c r="D52" s="26"/>
      <c r="E52" s="26"/>
      <c r="F52" s="26"/>
      <c r="G52" s="26"/>
      <c r="H52" s="26"/>
      <c r="I52" s="26"/>
      <c r="J52" s="26"/>
    </row>
    <row r="53" spans="1:10">
      <c r="A53" s="26"/>
      <c r="B53" s="26"/>
      <c r="C53" s="26"/>
      <c r="D53" s="26"/>
      <c r="E53" s="26"/>
      <c r="F53" s="26"/>
      <c r="G53" s="26"/>
      <c r="H53" s="26"/>
      <c r="I53" s="26"/>
      <c r="J53" s="26"/>
    </row>
    <row r="54" spans="1:10">
      <c r="A54" s="26"/>
      <c r="B54" s="26"/>
      <c r="C54" s="26"/>
      <c r="D54" s="26"/>
      <c r="E54" s="26"/>
      <c r="F54" s="26"/>
      <c r="G54" s="26"/>
      <c r="H54" s="26"/>
      <c r="I54" s="26"/>
      <c r="J54" s="26"/>
    </row>
    <row r="55" spans="1:10">
      <c r="A55" s="26"/>
      <c r="B55" s="26"/>
      <c r="C55" s="26"/>
      <c r="D55" s="26"/>
      <c r="E55" s="26"/>
      <c r="F55" s="26"/>
      <c r="G55" s="26"/>
      <c r="H55" s="26"/>
      <c r="I55" s="26"/>
      <c r="J55" s="26"/>
    </row>
    <row r="56" spans="1:10">
      <c r="A56" s="26"/>
      <c r="B56" s="26"/>
      <c r="C56" s="26"/>
      <c r="D56" s="26"/>
      <c r="E56" s="26"/>
      <c r="F56" s="26"/>
      <c r="G56" s="26"/>
      <c r="H56" s="26"/>
      <c r="I56" s="26"/>
      <c r="J56" s="26"/>
    </row>
    <row r="57" spans="1:10">
      <c r="A57" s="26"/>
      <c r="B57" s="26"/>
      <c r="C57" s="26"/>
      <c r="D57" s="26"/>
      <c r="E57" s="26"/>
      <c r="F57" s="26"/>
      <c r="G57" s="26"/>
      <c r="H57" s="26"/>
      <c r="I57" s="26"/>
      <c r="J57" s="26"/>
    </row>
    <row r="58" spans="1:10">
      <c r="A58" s="26"/>
      <c r="B58" s="26"/>
      <c r="C58" s="26"/>
      <c r="D58" s="26"/>
      <c r="E58" s="26"/>
      <c r="F58" s="26"/>
      <c r="G58" s="26"/>
      <c r="H58" s="26"/>
      <c r="I58" s="26"/>
      <c r="J58" s="26"/>
    </row>
    <row r="59" spans="1:10">
      <c r="A59" s="26"/>
      <c r="B59" s="26"/>
      <c r="C59" s="26"/>
      <c r="D59" s="26"/>
      <c r="E59" s="26"/>
      <c r="F59" s="26"/>
      <c r="G59" s="26"/>
      <c r="H59" s="26"/>
      <c r="I59" s="26"/>
      <c r="J59" s="26"/>
    </row>
    <row r="60" spans="1:10">
      <c r="A60" s="26"/>
      <c r="B60" s="26"/>
      <c r="C60" s="26"/>
      <c r="D60" s="26"/>
      <c r="E60" s="26"/>
      <c r="F60" s="26"/>
      <c r="G60" s="26"/>
      <c r="H60" s="26"/>
      <c r="I60" s="26"/>
      <c r="J60" s="26"/>
    </row>
    <row r="61" spans="1:10">
      <c r="A61" s="26"/>
      <c r="B61" s="26"/>
      <c r="C61" s="26"/>
      <c r="D61" s="26"/>
      <c r="E61" s="26"/>
      <c r="F61" s="26"/>
      <c r="G61" s="26"/>
      <c r="H61" s="26"/>
      <c r="I61" s="26"/>
      <c r="J61" s="26"/>
    </row>
    <row r="62" spans="1:10">
      <c r="A62" s="26"/>
      <c r="B62" s="26"/>
      <c r="C62" s="26"/>
      <c r="D62" s="26"/>
      <c r="E62" s="26"/>
      <c r="F62" s="26"/>
      <c r="G62" s="26"/>
      <c r="H62" s="26"/>
      <c r="I62" s="26"/>
      <c r="J62" s="26"/>
    </row>
    <row r="63" spans="1:10">
      <c r="A63" s="26"/>
      <c r="B63" s="26"/>
      <c r="C63" s="26"/>
      <c r="D63" s="26"/>
      <c r="E63" s="26"/>
      <c r="F63" s="26"/>
      <c r="G63" s="26"/>
      <c r="H63" s="26"/>
      <c r="I63" s="26"/>
      <c r="J63" s="26"/>
    </row>
    <row r="64" spans="1:10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>
      <c r="A98" s="26"/>
      <c r="B98" s="26"/>
      <c r="C98" s="26"/>
      <c r="D98" s="26"/>
      <c r="E98" s="26"/>
      <c r="F98" s="26"/>
      <c r="G98" s="26"/>
      <c r="H98" s="26"/>
      <c r="I98" s="26"/>
      <c r="J98" s="26"/>
    </row>
    <row r="99" spans="1:10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>
      <c r="A100" s="26"/>
      <c r="B100" s="26"/>
      <c r="C100" s="26"/>
      <c r="D100" s="26"/>
      <c r="E100" s="26"/>
      <c r="F100" s="26"/>
      <c r="G100" s="26"/>
      <c r="H100" s="26"/>
      <c r="I100" s="26"/>
      <c r="J100" s="26"/>
    </row>
    <row r="101" spans="1:10">
      <c r="A101" s="26"/>
      <c r="B101" s="26"/>
      <c r="C101" s="26"/>
      <c r="D101" s="26"/>
      <c r="E101" s="26"/>
      <c r="F101" s="26"/>
      <c r="G101" s="26"/>
      <c r="H101" s="26"/>
      <c r="I101" s="26"/>
      <c r="J101" s="26"/>
    </row>
    <row r="102" spans="1:10">
      <c r="A102" s="26"/>
      <c r="B102" s="26"/>
      <c r="C102" s="26"/>
      <c r="D102" s="26"/>
      <c r="E102" s="26"/>
      <c r="F102" s="26"/>
      <c r="G102" s="26"/>
      <c r="H102" s="26"/>
      <c r="I102" s="26"/>
      <c r="J102" s="26"/>
    </row>
    <row r="103" spans="1:10">
      <c r="A103" s="26"/>
      <c r="B103" s="26"/>
      <c r="C103" s="26"/>
      <c r="D103" s="26"/>
      <c r="E103" s="26"/>
      <c r="F103" s="26"/>
      <c r="G103" s="26"/>
      <c r="H103" s="26"/>
      <c r="I103" s="26"/>
      <c r="J103" s="26"/>
    </row>
    <row r="104" spans="1:10">
      <c r="A104" s="26"/>
      <c r="B104" s="26"/>
      <c r="C104" s="26"/>
      <c r="D104" s="26"/>
      <c r="E104" s="26"/>
      <c r="F104" s="26"/>
      <c r="G104" s="26"/>
      <c r="H104" s="26"/>
      <c r="I104" s="26"/>
      <c r="J104" s="26"/>
    </row>
    <row r="105" spans="1:10">
      <c r="A105" s="26"/>
      <c r="B105" s="26"/>
      <c r="C105" s="26"/>
      <c r="D105" s="26"/>
      <c r="E105" s="26"/>
      <c r="F105" s="26"/>
      <c r="G105" s="26"/>
      <c r="H105" s="26"/>
      <c r="I105" s="26"/>
      <c r="J105" s="26"/>
    </row>
    <row r="106" spans="1:10">
      <c r="A106" s="26"/>
      <c r="B106" s="26"/>
      <c r="C106" s="26"/>
      <c r="D106" s="26"/>
      <c r="E106" s="26"/>
      <c r="F106" s="26"/>
      <c r="G106" s="26"/>
      <c r="H106" s="26"/>
      <c r="I106" s="26"/>
      <c r="J106" s="26"/>
    </row>
    <row r="107" spans="1:10">
      <c r="A107" s="26"/>
      <c r="B107" s="26"/>
      <c r="C107" s="26"/>
      <c r="D107" s="26"/>
      <c r="E107" s="26"/>
      <c r="F107" s="26"/>
      <c r="G107" s="26"/>
      <c r="H107" s="26"/>
      <c r="I107" s="26"/>
      <c r="J107" s="26"/>
    </row>
    <row r="108" spans="1:10">
      <c r="A108" s="26"/>
      <c r="B108" s="26"/>
      <c r="C108" s="26"/>
      <c r="D108" s="26"/>
      <c r="E108" s="26"/>
      <c r="F108" s="26"/>
      <c r="G108" s="26"/>
      <c r="H108" s="26"/>
      <c r="I108" s="26"/>
      <c r="J108" s="26"/>
    </row>
    <row r="109" spans="1:10">
      <c r="A109" s="26"/>
      <c r="B109" s="26"/>
      <c r="C109" s="26"/>
      <c r="D109" s="26"/>
      <c r="E109" s="26"/>
      <c r="F109" s="26"/>
      <c r="G109" s="26"/>
      <c r="H109" s="26"/>
      <c r="I109" s="26"/>
      <c r="J109" s="26"/>
    </row>
    <row r="110" spans="1:10">
      <c r="A110" s="26"/>
      <c r="B110" s="26"/>
      <c r="C110" s="26"/>
      <c r="D110" s="26"/>
      <c r="E110" s="26"/>
      <c r="F110" s="26"/>
      <c r="G110" s="26"/>
      <c r="H110" s="26"/>
      <c r="I110" s="26"/>
      <c r="J110" s="26"/>
    </row>
    <row r="111" spans="1:10">
      <c r="A111" s="26"/>
      <c r="B111" s="26"/>
      <c r="C111" s="26"/>
      <c r="D111" s="26"/>
      <c r="E111" s="26"/>
      <c r="F111" s="26"/>
      <c r="G111" s="26"/>
      <c r="H111" s="26"/>
      <c r="I111" s="26"/>
      <c r="J111" s="26"/>
    </row>
    <row r="112" spans="1:10">
      <c r="A112" s="26"/>
      <c r="B112" s="26"/>
      <c r="C112" s="26"/>
      <c r="D112" s="26"/>
      <c r="E112" s="26"/>
      <c r="F112" s="26"/>
      <c r="G112" s="26"/>
      <c r="H112" s="26"/>
      <c r="I112" s="26"/>
      <c r="J112" s="26"/>
    </row>
    <row r="113" spans="1:10">
      <c r="A113" s="26"/>
      <c r="B113" s="26"/>
      <c r="C113" s="26"/>
      <c r="D113" s="26"/>
      <c r="E113" s="26"/>
      <c r="F113" s="26"/>
      <c r="G113" s="26"/>
      <c r="H113" s="26"/>
      <c r="I113" s="26"/>
      <c r="J113" s="26"/>
    </row>
    <row r="114" spans="1:10">
      <c r="A114" s="26"/>
      <c r="B114" s="26"/>
      <c r="C114" s="26"/>
      <c r="D114" s="26"/>
      <c r="E114" s="26"/>
      <c r="F114" s="26"/>
      <c r="G114" s="26"/>
      <c r="H114" s="26"/>
      <c r="I114" s="26"/>
      <c r="J114" s="26"/>
    </row>
    <row r="115" spans="1:10">
      <c r="A115" s="26"/>
      <c r="B115" s="26"/>
      <c r="C115" s="26"/>
      <c r="D115" s="26"/>
      <c r="E115" s="26"/>
      <c r="F115" s="26"/>
      <c r="G115" s="26"/>
      <c r="H115" s="26"/>
      <c r="I115" s="26"/>
      <c r="J115" s="26"/>
    </row>
    <row r="116" spans="1:10">
      <c r="A116" s="26"/>
      <c r="B116" s="26"/>
      <c r="C116" s="26"/>
      <c r="D116" s="26"/>
      <c r="E116" s="26"/>
      <c r="F116" s="26"/>
      <c r="G116" s="26"/>
      <c r="H116" s="26"/>
      <c r="I116" s="26"/>
      <c r="J116" s="26"/>
    </row>
    <row r="117" spans="1:10">
      <c r="A117" s="26"/>
      <c r="B117" s="26"/>
      <c r="C117" s="26"/>
      <c r="D117" s="26"/>
      <c r="E117" s="26"/>
      <c r="F117" s="26"/>
      <c r="G117" s="26"/>
      <c r="H117" s="26"/>
      <c r="I117" s="26"/>
      <c r="J117" s="26"/>
    </row>
    <row r="118" spans="1:10">
      <c r="A118" s="26"/>
      <c r="B118" s="26"/>
      <c r="C118" s="26"/>
      <c r="D118" s="26"/>
      <c r="E118" s="26"/>
      <c r="F118" s="26"/>
      <c r="G118" s="26"/>
      <c r="H118" s="26"/>
      <c r="I118" s="26"/>
      <c r="J118" s="26"/>
    </row>
    <row r="119" spans="1:10">
      <c r="A119" s="26"/>
      <c r="B119" s="26"/>
      <c r="C119" s="26"/>
      <c r="D119" s="26"/>
      <c r="E119" s="26"/>
      <c r="F119" s="26"/>
      <c r="G119" s="26"/>
      <c r="H119" s="26"/>
      <c r="I119" s="26"/>
      <c r="J119" s="26"/>
    </row>
    <row r="120" spans="1:10">
      <c r="A120" s="26"/>
      <c r="B120" s="26"/>
      <c r="C120" s="26"/>
      <c r="D120" s="26"/>
      <c r="E120" s="26"/>
      <c r="F120" s="26"/>
      <c r="G120" s="26"/>
      <c r="H120" s="26"/>
      <c r="I120" s="26"/>
      <c r="J120" s="26"/>
    </row>
    <row r="121" spans="1:10">
      <c r="A121" s="26"/>
      <c r="B121" s="26"/>
      <c r="C121" s="26"/>
      <c r="D121" s="26"/>
      <c r="E121" s="26"/>
      <c r="F121" s="26"/>
      <c r="G121" s="26"/>
      <c r="H121" s="26"/>
      <c r="I121" s="26"/>
      <c r="J121" s="26"/>
    </row>
    <row r="122" spans="1:10">
      <c r="A122" s="26"/>
      <c r="B122" s="26"/>
      <c r="C122" s="26"/>
      <c r="D122" s="26"/>
      <c r="E122" s="26"/>
      <c r="F122" s="26"/>
      <c r="G122" s="26"/>
      <c r="H122" s="26"/>
      <c r="I122" s="26"/>
      <c r="J122" s="26"/>
    </row>
    <row r="123" spans="1:10">
      <c r="A123" s="26"/>
      <c r="B123" s="26"/>
      <c r="C123" s="26"/>
      <c r="D123" s="26"/>
      <c r="E123" s="26"/>
      <c r="F123" s="26"/>
      <c r="G123" s="26"/>
      <c r="H123" s="26"/>
      <c r="I123" s="26"/>
      <c r="J123" s="26"/>
    </row>
    <row r="124" spans="1:10">
      <c r="A124" s="26"/>
      <c r="B124" s="26"/>
      <c r="C124" s="26"/>
      <c r="D124" s="26"/>
      <c r="E124" s="26"/>
      <c r="F124" s="26"/>
      <c r="G124" s="26"/>
      <c r="H124" s="26"/>
      <c r="I124" s="26"/>
      <c r="J124" s="26"/>
    </row>
    <row r="125" spans="1:10">
      <c r="A125" s="26"/>
      <c r="B125" s="26"/>
      <c r="C125" s="26"/>
      <c r="D125" s="26"/>
      <c r="E125" s="26"/>
      <c r="F125" s="26"/>
      <c r="G125" s="26"/>
      <c r="H125" s="26"/>
      <c r="I125" s="26"/>
      <c r="J125" s="26"/>
    </row>
    <row r="126" spans="1:10">
      <c r="A126" s="26"/>
      <c r="B126" s="26"/>
      <c r="C126" s="26"/>
      <c r="D126" s="26"/>
      <c r="E126" s="26"/>
      <c r="F126" s="26"/>
      <c r="G126" s="26"/>
      <c r="H126" s="26"/>
      <c r="I126" s="26"/>
      <c r="J126" s="26"/>
    </row>
    <row r="127" spans="1:10">
      <c r="A127" s="26"/>
      <c r="B127" s="26"/>
      <c r="C127" s="26"/>
      <c r="D127" s="26"/>
      <c r="E127" s="26"/>
      <c r="F127" s="26"/>
      <c r="G127" s="26"/>
      <c r="H127" s="26"/>
      <c r="I127" s="26"/>
      <c r="J127" s="26"/>
    </row>
    <row r="128" spans="1:10">
      <c r="A128" s="26"/>
      <c r="B128" s="26"/>
      <c r="C128" s="26"/>
      <c r="D128" s="26"/>
      <c r="E128" s="26"/>
      <c r="F128" s="26"/>
      <c r="G128" s="26"/>
      <c r="H128" s="26"/>
      <c r="I128" s="26"/>
      <c r="J128" s="26"/>
    </row>
    <row r="129" spans="1:10">
      <c r="A129" s="26"/>
      <c r="B129" s="26"/>
      <c r="C129" s="26"/>
      <c r="D129" s="26"/>
      <c r="E129" s="26"/>
      <c r="F129" s="26"/>
      <c r="G129" s="26"/>
      <c r="H129" s="26"/>
      <c r="I129" s="26"/>
      <c r="J129" s="26"/>
    </row>
    <row r="130" spans="1:10">
      <c r="A130" s="26"/>
      <c r="B130" s="26"/>
      <c r="C130" s="26"/>
      <c r="D130" s="26"/>
      <c r="E130" s="26"/>
      <c r="F130" s="26"/>
      <c r="G130" s="26"/>
      <c r="H130" s="26"/>
      <c r="I130" s="26"/>
      <c r="J130" s="26"/>
    </row>
    <row r="131" spans="1:10">
      <c r="A131" s="26"/>
      <c r="B131" s="26"/>
      <c r="C131" s="26"/>
      <c r="D131" s="26"/>
      <c r="E131" s="26"/>
      <c r="F131" s="26"/>
      <c r="G131" s="26"/>
      <c r="H131" s="26"/>
      <c r="I131" s="26"/>
      <c r="J131" s="26"/>
    </row>
    <row r="132" spans="1:10">
      <c r="A132" s="26"/>
      <c r="B132" s="26"/>
      <c r="C132" s="26"/>
      <c r="D132" s="26"/>
      <c r="E132" s="26"/>
      <c r="F132" s="26"/>
      <c r="G132" s="26"/>
      <c r="H132" s="26"/>
      <c r="I132" s="26"/>
      <c r="J132" s="26"/>
    </row>
    <row r="133" spans="1:10">
      <c r="A133" s="26"/>
      <c r="B133" s="26"/>
      <c r="C133" s="26"/>
      <c r="D133" s="26"/>
      <c r="E133" s="26"/>
      <c r="F133" s="26"/>
      <c r="G133" s="26"/>
      <c r="H133" s="26"/>
      <c r="I133" s="26"/>
      <c r="J133" s="26"/>
    </row>
    <row r="134" spans="1:10">
      <c r="A134" s="26"/>
      <c r="B134" s="26"/>
      <c r="C134" s="26"/>
      <c r="D134" s="26"/>
      <c r="E134" s="26"/>
      <c r="F134" s="26"/>
      <c r="G134" s="26"/>
      <c r="H134" s="26"/>
      <c r="I134" s="26"/>
      <c r="J134" s="26"/>
    </row>
    <row r="135" spans="1:10">
      <c r="A135" s="26"/>
      <c r="B135" s="26"/>
      <c r="C135" s="26"/>
      <c r="D135" s="26"/>
      <c r="E135" s="26"/>
      <c r="F135" s="26"/>
      <c r="G135" s="26"/>
      <c r="H135" s="26"/>
      <c r="I135" s="26"/>
      <c r="J135" s="26"/>
    </row>
    <row r="136" spans="1:10">
      <c r="A136" s="26"/>
      <c r="B136" s="26"/>
      <c r="C136" s="26"/>
      <c r="D136" s="26"/>
      <c r="E136" s="26"/>
      <c r="F136" s="26"/>
      <c r="G136" s="26"/>
      <c r="H136" s="26"/>
      <c r="I136" s="26"/>
      <c r="J136" s="26"/>
    </row>
    <row r="137" spans="1:10">
      <c r="A137" s="26"/>
      <c r="B137" s="26"/>
      <c r="C137" s="26"/>
      <c r="D137" s="26"/>
      <c r="E137" s="26"/>
      <c r="F137" s="26"/>
      <c r="G137" s="26"/>
      <c r="H137" s="26"/>
      <c r="I137" s="26"/>
      <c r="J137" s="26"/>
    </row>
    <row r="138" spans="1:10">
      <c r="A138" s="26"/>
      <c r="B138" s="26"/>
      <c r="C138" s="26"/>
      <c r="D138" s="26"/>
      <c r="E138" s="26"/>
      <c r="F138" s="26"/>
      <c r="G138" s="26"/>
      <c r="H138" s="26"/>
      <c r="I138" s="26"/>
      <c r="J138" s="26"/>
    </row>
    <row r="139" spans="1:10">
      <c r="A139" s="26"/>
      <c r="B139" s="26"/>
      <c r="C139" s="26"/>
      <c r="D139" s="26"/>
      <c r="E139" s="26"/>
      <c r="F139" s="26"/>
      <c r="G139" s="26"/>
      <c r="H139" s="26"/>
      <c r="I139" s="26"/>
      <c r="J139" s="26"/>
    </row>
    <row r="140" spans="1:10">
      <c r="A140" s="26"/>
      <c r="B140" s="26"/>
      <c r="C140" s="26"/>
      <c r="D140" s="26"/>
      <c r="E140" s="26"/>
      <c r="F140" s="26"/>
      <c r="G140" s="26"/>
      <c r="H140" s="26"/>
      <c r="I140" s="26"/>
      <c r="J140" s="26"/>
    </row>
    <row r="141" spans="1:10">
      <c r="A141" s="26"/>
      <c r="B141" s="26"/>
      <c r="C141" s="26"/>
      <c r="D141" s="26"/>
      <c r="E141" s="26"/>
      <c r="F141" s="26"/>
      <c r="G141" s="26"/>
      <c r="H141" s="26"/>
      <c r="I141" s="26"/>
      <c r="J141" s="26"/>
    </row>
    <row r="142" spans="1:10">
      <c r="A142" s="26"/>
      <c r="B142" s="26"/>
      <c r="C142" s="26"/>
      <c r="D142" s="26"/>
      <c r="E142" s="26"/>
      <c r="F142" s="26"/>
      <c r="G142" s="26"/>
      <c r="H142" s="26"/>
      <c r="I142" s="26"/>
      <c r="J142" s="26"/>
    </row>
    <row r="143" spans="1:10">
      <c r="A143" s="26"/>
      <c r="B143" s="26"/>
      <c r="C143" s="26"/>
      <c r="D143" s="26"/>
      <c r="E143" s="26"/>
      <c r="F143" s="26"/>
      <c r="G143" s="26"/>
      <c r="H143" s="26"/>
      <c r="I143" s="26"/>
      <c r="J143" s="26"/>
    </row>
    <row r="144" spans="1:10">
      <c r="A144" s="26"/>
      <c r="B144" s="26"/>
      <c r="C144" s="26"/>
      <c r="D144" s="26"/>
      <c r="E144" s="26"/>
      <c r="F144" s="26"/>
      <c r="G144" s="26"/>
      <c r="H144" s="26"/>
      <c r="I144" s="26"/>
      <c r="J144" s="26"/>
    </row>
    <row r="145" spans="1:10">
      <c r="A145" s="26"/>
      <c r="B145" s="26"/>
      <c r="C145" s="26"/>
      <c r="D145" s="26"/>
      <c r="E145" s="26"/>
      <c r="F145" s="26"/>
      <c r="G145" s="26"/>
      <c r="H145" s="26"/>
      <c r="I145" s="26"/>
      <c r="J145" s="26"/>
    </row>
    <row r="146" spans="1:10">
      <c r="A146" s="26"/>
      <c r="B146" s="26"/>
      <c r="C146" s="26"/>
      <c r="D146" s="26"/>
      <c r="E146" s="26"/>
      <c r="F146" s="26"/>
      <c r="G146" s="26"/>
      <c r="H146" s="26"/>
      <c r="I146" s="26"/>
      <c r="J146" s="26"/>
    </row>
    <row r="147" spans="1:10">
      <c r="A147" s="26"/>
      <c r="B147" s="26"/>
      <c r="C147" s="26"/>
      <c r="D147" s="26"/>
      <c r="E147" s="26"/>
      <c r="F147" s="26"/>
      <c r="G147" s="26"/>
      <c r="H147" s="26"/>
      <c r="I147" s="26"/>
      <c r="J147" s="26"/>
    </row>
    <row r="148" spans="1:10">
      <c r="A148" s="26"/>
      <c r="B148" s="26"/>
      <c r="C148" s="26"/>
      <c r="D148" s="26"/>
      <c r="E148" s="26"/>
      <c r="F148" s="26"/>
      <c r="G148" s="26"/>
      <c r="H148" s="26"/>
      <c r="I148" s="26"/>
      <c r="J148" s="26"/>
    </row>
    <row r="149" spans="1:10">
      <c r="A149" s="26"/>
      <c r="B149" s="26"/>
      <c r="C149" s="26"/>
      <c r="D149" s="26"/>
      <c r="E149" s="26"/>
      <c r="F149" s="26"/>
      <c r="G149" s="26"/>
      <c r="H149" s="26"/>
      <c r="I149" s="26"/>
      <c r="J149" s="26"/>
    </row>
    <row r="150" spans="1:10">
      <c r="A150" s="26"/>
      <c r="B150" s="26"/>
      <c r="C150" s="26"/>
      <c r="D150" s="26"/>
      <c r="E150" s="26"/>
      <c r="F150" s="26"/>
      <c r="G150" s="26"/>
      <c r="H150" s="26"/>
      <c r="I150" s="26"/>
      <c r="J150" s="26"/>
    </row>
    <row r="151" spans="1:10">
      <c r="A151" s="26"/>
      <c r="B151" s="26"/>
      <c r="C151" s="26"/>
      <c r="D151" s="26"/>
      <c r="E151" s="26"/>
      <c r="F151" s="26"/>
      <c r="G151" s="26"/>
      <c r="H151" s="26"/>
      <c r="I151" s="26"/>
      <c r="J151" s="26"/>
    </row>
    <row r="152" spans="1:10">
      <c r="A152" s="26"/>
      <c r="B152" s="26"/>
      <c r="C152" s="26"/>
      <c r="D152" s="26"/>
      <c r="E152" s="26"/>
      <c r="F152" s="26"/>
      <c r="G152" s="26"/>
      <c r="H152" s="26"/>
      <c r="I152" s="26"/>
      <c r="J152" s="26"/>
    </row>
    <row r="153" spans="1:10">
      <c r="A153" s="26"/>
      <c r="B153" s="26"/>
      <c r="C153" s="26"/>
      <c r="D153" s="26"/>
      <c r="E153" s="26"/>
      <c r="F153" s="26"/>
      <c r="G153" s="26"/>
      <c r="H153" s="26"/>
      <c r="I153" s="26"/>
      <c r="J153" s="26"/>
    </row>
    <row r="154" spans="1:10">
      <c r="A154" s="26"/>
      <c r="B154" s="26"/>
      <c r="C154" s="26"/>
      <c r="D154" s="26"/>
      <c r="E154" s="26"/>
      <c r="F154" s="26"/>
      <c r="G154" s="26"/>
      <c r="H154" s="26"/>
      <c r="I154" s="26"/>
      <c r="J154" s="26"/>
    </row>
    <row r="155" spans="1:10">
      <c r="A155" s="26"/>
      <c r="B155" s="26"/>
      <c r="C155" s="26"/>
      <c r="D155" s="26"/>
      <c r="E155" s="26"/>
      <c r="F155" s="26"/>
      <c r="G155" s="26"/>
      <c r="H155" s="26"/>
      <c r="I155" s="26"/>
      <c r="J155" s="26"/>
    </row>
    <row r="156" spans="1:10">
      <c r="A156" s="26"/>
      <c r="B156" s="26"/>
      <c r="C156" s="26"/>
      <c r="D156" s="26"/>
      <c r="E156" s="26"/>
      <c r="F156" s="26"/>
      <c r="G156" s="26"/>
      <c r="H156" s="26"/>
      <c r="I156" s="26"/>
      <c r="J156" s="26"/>
    </row>
    <row r="157" spans="1:10">
      <c r="A157" s="26"/>
      <c r="B157" s="26"/>
      <c r="C157" s="26"/>
      <c r="D157" s="26"/>
      <c r="E157" s="26"/>
      <c r="F157" s="26"/>
      <c r="G157" s="26"/>
      <c r="H157" s="26"/>
      <c r="I157" s="26"/>
      <c r="J157" s="26"/>
    </row>
    <row r="158" spans="1:10">
      <c r="A158" s="26"/>
      <c r="B158" s="26"/>
      <c r="C158" s="26"/>
      <c r="D158" s="26"/>
      <c r="E158" s="26"/>
      <c r="F158" s="26"/>
      <c r="G158" s="26"/>
      <c r="H158" s="26"/>
      <c r="I158" s="26"/>
      <c r="J158" s="26"/>
    </row>
    <row r="159" spans="1:10">
      <c r="A159" s="26"/>
      <c r="B159" s="26"/>
      <c r="C159" s="26"/>
      <c r="D159" s="26"/>
      <c r="E159" s="26"/>
      <c r="F159" s="26"/>
      <c r="G159" s="26"/>
      <c r="H159" s="26"/>
      <c r="I159" s="26"/>
      <c r="J159" s="26"/>
    </row>
    <row r="160" spans="1:10">
      <c r="A160" s="26"/>
      <c r="B160" s="26"/>
      <c r="C160" s="26"/>
      <c r="D160" s="26"/>
      <c r="E160" s="26"/>
      <c r="F160" s="26"/>
      <c r="G160" s="26"/>
      <c r="H160" s="26"/>
      <c r="I160" s="26"/>
      <c r="J160" s="26"/>
    </row>
    <row r="161" spans="1:10">
      <c r="A161" s="26"/>
      <c r="B161" s="26"/>
      <c r="C161" s="26"/>
      <c r="D161" s="26"/>
      <c r="E161" s="26"/>
      <c r="F161" s="26"/>
      <c r="G161" s="26"/>
      <c r="H161" s="26"/>
      <c r="I161" s="26"/>
      <c r="J161" s="26"/>
    </row>
    <row r="162" spans="1:10">
      <c r="A162" s="26"/>
      <c r="B162" s="26"/>
      <c r="C162" s="26"/>
      <c r="D162" s="26"/>
      <c r="E162" s="26"/>
      <c r="F162" s="26"/>
      <c r="G162" s="26"/>
      <c r="H162" s="26"/>
      <c r="I162" s="26"/>
      <c r="J162" s="26"/>
    </row>
    <row r="163" spans="1:10">
      <c r="A163" s="26"/>
      <c r="B163" s="26"/>
      <c r="C163" s="26"/>
      <c r="D163" s="26"/>
      <c r="E163" s="26"/>
      <c r="F163" s="26"/>
      <c r="G163" s="26"/>
      <c r="H163" s="26"/>
      <c r="I163" s="26"/>
      <c r="J163" s="26"/>
    </row>
    <row r="164" spans="1:10">
      <c r="A164" s="26"/>
      <c r="B164" s="26"/>
      <c r="C164" s="26"/>
      <c r="D164" s="26"/>
      <c r="E164" s="26"/>
      <c r="F164" s="26"/>
      <c r="G164" s="26"/>
      <c r="H164" s="26"/>
      <c r="I164" s="26"/>
      <c r="J164" s="26"/>
    </row>
    <row r="165" spans="1:10">
      <c r="A165" s="26"/>
      <c r="B165" s="26"/>
      <c r="C165" s="26"/>
      <c r="D165" s="26"/>
      <c r="E165" s="26"/>
      <c r="F165" s="26"/>
      <c r="G165" s="26"/>
      <c r="H165" s="26"/>
      <c r="I165" s="26"/>
      <c r="J165" s="26"/>
    </row>
    <row r="166" spans="1:10">
      <c r="A166" s="26"/>
      <c r="B166" s="26"/>
      <c r="C166" s="26"/>
      <c r="D166" s="26"/>
      <c r="E166" s="26"/>
      <c r="F166" s="26"/>
      <c r="G166" s="26"/>
      <c r="H166" s="26"/>
      <c r="I166" s="26"/>
      <c r="J166" s="26"/>
    </row>
    <row r="167" spans="1:10">
      <c r="A167" s="26"/>
      <c r="B167" s="26"/>
      <c r="C167" s="26"/>
      <c r="D167" s="26"/>
      <c r="E167" s="26"/>
      <c r="F167" s="26"/>
      <c r="G167" s="26"/>
      <c r="H167" s="26"/>
      <c r="I167" s="26"/>
      <c r="J167" s="26"/>
    </row>
    <row r="168" spans="1:10">
      <c r="A168" s="26"/>
      <c r="B168" s="26"/>
      <c r="C168" s="26"/>
      <c r="D168" s="26"/>
      <c r="E168" s="26"/>
      <c r="F168" s="26"/>
      <c r="G168" s="26"/>
      <c r="H168" s="26"/>
      <c r="I168" s="26"/>
      <c r="J168" s="26"/>
    </row>
    <row r="169" spans="1:10">
      <c r="A169" s="26"/>
      <c r="B169" s="26"/>
      <c r="C169" s="26"/>
      <c r="D169" s="26"/>
      <c r="E169" s="26"/>
      <c r="F169" s="26"/>
      <c r="G169" s="26"/>
      <c r="H169" s="26"/>
      <c r="I169" s="26"/>
      <c r="J169" s="26"/>
    </row>
    <row r="170" spans="1:10">
      <c r="A170" s="26"/>
      <c r="B170" s="26"/>
      <c r="C170" s="26"/>
      <c r="D170" s="26"/>
      <c r="E170" s="26"/>
      <c r="F170" s="26"/>
      <c r="G170" s="26"/>
      <c r="H170" s="26"/>
      <c r="I170" s="26"/>
      <c r="J170" s="26"/>
    </row>
    <row r="171" spans="1:10">
      <c r="A171" s="26"/>
      <c r="B171" s="26"/>
      <c r="C171" s="26"/>
      <c r="D171" s="26"/>
      <c r="E171" s="26"/>
      <c r="F171" s="26"/>
      <c r="G171" s="26"/>
      <c r="H171" s="26"/>
      <c r="I171" s="26"/>
      <c r="J171" s="26"/>
    </row>
    <row r="172" spans="1:10">
      <c r="A172" s="26"/>
      <c r="B172" s="26"/>
      <c r="C172" s="26"/>
      <c r="D172" s="26"/>
      <c r="E172" s="26"/>
      <c r="F172" s="26"/>
      <c r="G172" s="26"/>
      <c r="H172" s="26"/>
      <c r="I172" s="26"/>
      <c r="J172" s="26"/>
    </row>
    <row r="173" spans="1:10">
      <c r="A173" s="26"/>
      <c r="B173" s="26"/>
      <c r="C173" s="26"/>
      <c r="D173" s="26"/>
      <c r="E173" s="26"/>
      <c r="F173" s="26"/>
      <c r="G173" s="26"/>
      <c r="H173" s="26"/>
      <c r="I173" s="26"/>
      <c r="J173" s="26"/>
    </row>
    <row r="174" spans="1:10">
      <c r="A174" s="26"/>
      <c r="B174" s="26"/>
      <c r="C174" s="26"/>
      <c r="D174" s="26"/>
      <c r="E174" s="26"/>
      <c r="F174" s="26"/>
      <c r="G174" s="26"/>
      <c r="H174" s="26"/>
      <c r="I174" s="26"/>
      <c r="J174" s="26"/>
    </row>
    <row r="175" spans="1:10">
      <c r="A175" s="26"/>
      <c r="B175" s="26"/>
      <c r="C175" s="26"/>
      <c r="D175" s="26"/>
      <c r="E175" s="26"/>
      <c r="F175" s="26"/>
      <c r="G175" s="26"/>
      <c r="H175" s="26"/>
      <c r="I175" s="26"/>
      <c r="J175" s="26"/>
    </row>
    <row r="176" spans="1:10">
      <c r="A176" s="26"/>
      <c r="B176" s="26"/>
      <c r="C176" s="26"/>
      <c r="D176" s="26"/>
      <c r="E176" s="26"/>
      <c r="F176" s="26"/>
      <c r="G176" s="26"/>
      <c r="H176" s="26"/>
      <c r="I176" s="26"/>
      <c r="J176" s="26"/>
    </row>
    <row r="177" spans="1:10">
      <c r="A177" s="26"/>
      <c r="B177" s="26"/>
      <c r="C177" s="26"/>
      <c r="D177" s="26"/>
      <c r="E177" s="26"/>
      <c r="F177" s="26"/>
      <c r="G177" s="26"/>
      <c r="H177" s="26"/>
      <c r="I177" s="26"/>
      <c r="J177" s="26"/>
    </row>
    <row r="178" spans="1:10">
      <c r="A178" s="26"/>
      <c r="B178" s="26"/>
      <c r="C178" s="26"/>
      <c r="D178" s="26"/>
      <c r="E178" s="26"/>
      <c r="F178" s="26"/>
      <c r="G178" s="26"/>
      <c r="H178" s="26"/>
      <c r="I178" s="26"/>
      <c r="J178" s="26"/>
    </row>
    <row r="179" spans="1:10">
      <c r="A179" s="26"/>
      <c r="B179" s="26"/>
      <c r="C179" s="26"/>
      <c r="D179" s="26"/>
      <c r="E179" s="26"/>
      <c r="F179" s="26"/>
      <c r="G179" s="26"/>
      <c r="H179" s="26"/>
      <c r="I179" s="26"/>
      <c r="J179" s="26"/>
    </row>
    <row r="180" spans="1:10">
      <c r="A180" s="26"/>
      <c r="B180" s="26"/>
      <c r="C180" s="26"/>
      <c r="D180" s="26"/>
      <c r="E180" s="26"/>
      <c r="F180" s="26"/>
      <c r="G180" s="26"/>
      <c r="H180" s="26"/>
      <c r="I180" s="26"/>
      <c r="J180" s="26"/>
    </row>
    <row r="181" spans="1:10">
      <c r="A181" s="26"/>
      <c r="B181" s="26"/>
      <c r="C181" s="26"/>
      <c r="D181" s="26"/>
      <c r="E181" s="26"/>
      <c r="F181" s="26"/>
      <c r="G181" s="26"/>
      <c r="H181" s="26"/>
      <c r="I181" s="26"/>
      <c r="J181" s="26"/>
    </row>
    <row r="182" spans="1:10">
      <c r="A182" s="26"/>
      <c r="B182" s="26"/>
      <c r="C182" s="26"/>
      <c r="D182" s="26"/>
      <c r="E182" s="26"/>
      <c r="F182" s="26"/>
      <c r="G182" s="26"/>
      <c r="H182" s="26"/>
      <c r="I182" s="26"/>
      <c r="J182" s="26"/>
    </row>
    <row r="183" spans="1:10">
      <c r="A183" s="26"/>
      <c r="B183" s="26"/>
      <c r="C183" s="26"/>
      <c r="D183" s="26"/>
      <c r="E183" s="26"/>
      <c r="F183" s="26"/>
      <c r="G183" s="26"/>
      <c r="H183" s="26"/>
      <c r="I183" s="26"/>
      <c r="J183" s="26"/>
    </row>
    <row r="184" spans="1:10">
      <c r="A184" s="26"/>
      <c r="B184" s="26"/>
      <c r="C184" s="26"/>
      <c r="D184" s="26"/>
      <c r="E184" s="26"/>
      <c r="F184" s="26"/>
      <c r="G184" s="26"/>
      <c r="H184" s="26"/>
      <c r="I184" s="26"/>
      <c r="J184" s="26"/>
    </row>
    <row r="185" spans="1:10">
      <c r="A185" s="26"/>
      <c r="B185" s="26"/>
      <c r="C185" s="26"/>
      <c r="D185" s="26"/>
      <c r="E185" s="26"/>
      <c r="F185" s="26"/>
      <c r="G185" s="26"/>
      <c r="H185" s="26"/>
      <c r="I185" s="26"/>
      <c r="J185" s="26"/>
    </row>
    <row r="186" spans="1:10">
      <c r="A186" s="26"/>
      <c r="B186" s="26"/>
      <c r="C186" s="26"/>
      <c r="D186" s="26"/>
      <c r="E186" s="26"/>
      <c r="F186" s="26"/>
      <c r="G186" s="26"/>
      <c r="H186" s="26"/>
      <c r="I186" s="26"/>
      <c r="J186" s="26"/>
    </row>
    <row r="187" spans="1:10">
      <c r="A187" s="26"/>
      <c r="B187" s="26"/>
      <c r="C187" s="26"/>
      <c r="D187" s="26"/>
      <c r="E187" s="26"/>
      <c r="F187" s="26"/>
      <c r="G187" s="26"/>
      <c r="H187" s="26"/>
      <c r="I187" s="26"/>
      <c r="J187" s="26"/>
    </row>
    <row r="188" spans="1:10">
      <c r="A188" s="26"/>
      <c r="B188" s="26"/>
      <c r="C188" s="26"/>
      <c r="D188" s="26"/>
      <c r="E188" s="26"/>
      <c r="F188" s="26"/>
      <c r="G188" s="26"/>
      <c r="H188" s="26"/>
      <c r="I188" s="26"/>
      <c r="J188" s="26"/>
    </row>
    <row r="189" spans="1:10">
      <c r="A189" s="26"/>
      <c r="B189" s="26"/>
      <c r="C189" s="26"/>
      <c r="D189" s="26"/>
      <c r="E189" s="26"/>
      <c r="F189" s="26"/>
      <c r="G189" s="26"/>
      <c r="H189" s="26"/>
      <c r="I189" s="26"/>
      <c r="J189" s="26"/>
    </row>
    <row r="190" spans="1:10">
      <c r="A190" s="26"/>
      <c r="B190" s="26"/>
      <c r="C190" s="26"/>
      <c r="D190" s="26"/>
      <c r="E190" s="26"/>
      <c r="F190" s="26"/>
      <c r="G190" s="26"/>
      <c r="H190" s="26"/>
      <c r="I190" s="26"/>
      <c r="J190" s="26"/>
    </row>
    <row r="191" spans="1:10">
      <c r="A191" s="26"/>
      <c r="B191" s="26"/>
      <c r="C191" s="26"/>
      <c r="D191" s="26"/>
      <c r="E191" s="26"/>
      <c r="F191" s="26"/>
      <c r="G191" s="26"/>
      <c r="H191" s="26"/>
      <c r="I191" s="26"/>
      <c r="J191" s="26"/>
    </row>
    <row r="192" spans="1:10">
      <c r="A192" s="26"/>
      <c r="B192" s="26"/>
      <c r="C192" s="26"/>
      <c r="D192" s="26"/>
      <c r="E192" s="26"/>
      <c r="F192" s="26"/>
      <c r="G192" s="26"/>
      <c r="H192" s="26"/>
      <c r="I192" s="26"/>
      <c r="J192" s="26"/>
    </row>
    <row r="193" spans="1:10">
      <c r="A193" s="26"/>
      <c r="B193" s="26"/>
      <c r="C193" s="26"/>
      <c r="D193" s="26"/>
      <c r="E193" s="26"/>
      <c r="F193" s="26"/>
      <c r="G193" s="26"/>
      <c r="H193" s="26"/>
      <c r="I193" s="26"/>
      <c r="J193" s="26"/>
    </row>
    <row r="194" spans="1:10">
      <c r="A194" s="26"/>
      <c r="B194" s="26"/>
      <c r="C194" s="26"/>
      <c r="D194" s="26"/>
      <c r="E194" s="26"/>
      <c r="F194" s="26"/>
      <c r="G194" s="26"/>
      <c r="H194" s="26"/>
      <c r="I194" s="26"/>
      <c r="J194" s="26"/>
    </row>
    <row r="195" spans="1:10">
      <c r="A195" s="26"/>
      <c r="B195" s="26"/>
      <c r="C195" s="26"/>
      <c r="D195" s="26"/>
      <c r="E195" s="26"/>
      <c r="F195" s="26"/>
      <c r="G195" s="26"/>
      <c r="H195" s="26"/>
      <c r="I195" s="26"/>
      <c r="J195" s="26"/>
    </row>
    <row r="196" spans="1:10">
      <c r="A196" s="26"/>
      <c r="B196" s="26"/>
      <c r="C196" s="26"/>
      <c r="D196" s="26"/>
      <c r="E196" s="26"/>
      <c r="F196" s="26"/>
      <c r="G196" s="26"/>
      <c r="H196" s="26"/>
      <c r="I196" s="26"/>
      <c r="J196" s="26"/>
    </row>
    <row r="197" spans="1:10">
      <c r="A197" s="26"/>
      <c r="B197" s="26"/>
      <c r="C197" s="26"/>
      <c r="D197" s="26"/>
      <c r="E197" s="26"/>
      <c r="F197" s="26"/>
      <c r="G197" s="26"/>
      <c r="H197" s="26"/>
      <c r="I197" s="26"/>
      <c r="J197" s="26"/>
    </row>
    <row r="198" spans="1:10">
      <c r="A198" s="26"/>
      <c r="B198" s="26"/>
      <c r="C198" s="26"/>
      <c r="D198" s="26"/>
      <c r="E198" s="26"/>
      <c r="F198" s="26"/>
      <c r="G198" s="26"/>
      <c r="H198" s="26"/>
      <c r="I198" s="26"/>
      <c r="J198" s="26"/>
    </row>
    <row r="199" spans="1:10">
      <c r="A199" s="26"/>
      <c r="B199" s="26"/>
      <c r="C199" s="26"/>
      <c r="D199" s="26"/>
      <c r="E199" s="26"/>
      <c r="F199" s="26"/>
      <c r="G199" s="26"/>
      <c r="H199" s="26"/>
      <c r="I199" s="26"/>
      <c r="J199" s="26"/>
    </row>
    <row r="200" spans="1:10">
      <c r="A200" s="26"/>
      <c r="B200" s="26"/>
      <c r="C200" s="26"/>
      <c r="D200" s="26"/>
      <c r="E200" s="26"/>
      <c r="F200" s="26"/>
      <c r="G200" s="26"/>
      <c r="H200" s="26"/>
      <c r="I200" s="26"/>
      <c r="J200" s="26"/>
    </row>
    <row r="201" spans="1:10">
      <c r="A201" s="26"/>
      <c r="B201" s="26"/>
      <c r="C201" s="26"/>
      <c r="D201" s="26"/>
      <c r="E201" s="26"/>
      <c r="F201" s="26"/>
      <c r="G201" s="26"/>
      <c r="H201" s="26"/>
      <c r="I201" s="26"/>
      <c r="J201" s="26"/>
    </row>
  </sheetData>
  <mergeCells count="28">
    <mergeCell ref="B18:F18"/>
    <mergeCell ref="H6:I6"/>
    <mergeCell ref="B7:F7"/>
    <mergeCell ref="B8:F8"/>
    <mergeCell ref="B14:F14"/>
    <mergeCell ref="B15:F15"/>
    <mergeCell ref="H17:J17"/>
    <mergeCell ref="H15:J15"/>
    <mergeCell ref="H16:J16"/>
    <mergeCell ref="H14:J14"/>
    <mergeCell ref="H7:J7"/>
    <mergeCell ref="H8:J8"/>
    <mergeCell ref="H9:J9"/>
    <mergeCell ref="B12:I12"/>
    <mergeCell ref="B9:F9"/>
    <mergeCell ref="B13:I13"/>
    <mergeCell ref="B16:F16"/>
    <mergeCell ref="B17:F17"/>
    <mergeCell ref="H2:J2"/>
    <mergeCell ref="H3:J3"/>
    <mergeCell ref="H4:J4"/>
    <mergeCell ref="H5:J5"/>
    <mergeCell ref="B5:F5"/>
    <mergeCell ref="D1:E1"/>
    <mergeCell ref="F1:H1"/>
    <mergeCell ref="B2:F2"/>
    <mergeCell ref="B3:F3"/>
    <mergeCell ref="B4:F4"/>
  </mergeCells>
  <phoneticPr fontId="7" type="noConversion"/>
  <pageMargins left="0.7" right="0.7" top="0.75" bottom="0.75" header="0.3" footer="0.3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"/>
  <sheetViews>
    <sheetView workbookViewId="0"/>
  </sheetViews>
  <sheetFormatPr defaultRowHeight="12.75"/>
  <cols>
    <col min="1" max="1" width="31.85546875" customWidth="1"/>
    <col min="2" max="2" width="120.28515625" bestFit="1" customWidth="1"/>
  </cols>
  <sheetData>
    <row r="1" spans="1:2">
      <c r="A1" s="28" t="s">
        <v>0</v>
      </c>
      <c r="B1" s="29">
        <v>1</v>
      </c>
    </row>
    <row r="2" spans="1:2">
      <c r="A2" s="28" t="s">
        <v>1</v>
      </c>
      <c r="B2" s="30"/>
    </row>
    <row r="3" spans="1:2">
      <c r="A3" s="28" t="s">
        <v>2</v>
      </c>
      <c r="B3" s="29"/>
    </row>
    <row r="4" spans="1:2">
      <c r="A4" s="28" t="s">
        <v>3</v>
      </c>
      <c r="B4" s="1"/>
    </row>
    <row r="5" spans="1:2">
      <c r="A5" s="28" t="s">
        <v>4</v>
      </c>
      <c r="B5" s="1" t="s">
        <v>5</v>
      </c>
    </row>
    <row r="6" spans="1:2">
      <c r="A6" s="28" t="s">
        <v>6</v>
      </c>
      <c r="B6" s="1"/>
    </row>
    <row r="7" spans="1:2">
      <c r="A7" s="28" t="s">
        <v>7</v>
      </c>
      <c r="B7" s="2"/>
    </row>
    <row r="8" spans="1:2">
      <c r="A8" s="28" t="s">
        <v>8</v>
      </c>
      <c r="B8" s="29"/>
    </row>
    <row r="9" spans="1:2" ht="15">
      <c r="A9" s="31"/>
      <c r="B9" s="31"/>
    </row>
    <row r="10" spans="1:2">
      <c r="A10" s="32" t="s">
        <v>9</v>
      </c>
      <c r="B10" s="33"/>
    </row>
    <row r="11" spans="1:2">
      <c r="A11" s="34" t="s">
        <v>10</v>
      </c>
      <c r="B11" s="34"/>
    </row>
    <row r="12" spans="1:2">
      <c r="A12" s="34" t="s">
        <v>42</v>
      </c>
      <c r="B12" s="34"/>
    </row>
    <row r="13" spans="1:2" ht="15">
      <c r="A13" s="31"/>
      <c r="B13" s="31"/>
    </row>
    <row r="14" spans="1:2" ht="15">
      <c r="A14" s="35" t="s">
        <v>43</v>
      </c>
      <c r="B14" s="37" t="s">
        <v>49</v>
      </c>
    </row>
    <row r="15" spans="1:2" ht="15">
      <c r="A15" s="35" t="s">
        <v>44</v>
      </c>
      <c r="B15" s="31">
        <v>0</v>
      </c>
    </row>
    <row r="16" spans="1:2" ht="15">
      <c r="A16" s="35" t="s">
        <v>45</v>
      </c>
      <c r="B16" s="31">
        <v>20</v>
      </c>
    </row>
    <row r="17" spans="1:2" ht="15">
      <c r="A17" s="35" t="s">
        <v>46</v>
      </c>
      <c r="B17" s="31" t="s">
        <v>47</v>
      </c>
    </row>
    <row r="18" spans="1:2" ht="15">
      <c r="A18" s="35" t="s">
        <v>48</v>
      </c>
      <c r="B18" s="3" t="s">
        <v>50</v>
      </c>
    </row>
    <row r="19" spans="1:2" ht="14.25">
      <c r="A19" s="3"/>
      <c r="B19" s="3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 export</vt:lpstr>
      <vt:lpstr>XDO_METADATA</vt:lpstr>
    </vt:vector>
  </TitlesOfParts>
  <Company>Copaco DC B.V.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Aarts</dc:creator>
  <cp:lastModifiedBy>Artem Frolov</cp:lastModifiedBy>
  <cp:lastPrinted>2014-07-11T01:57:04Z</cp:lastPrinted>
  <dcterms:created xsi:type="dcterms:W3CDTF">2014-05-13T11:53:17Z</dcterms:created>
  <dcterms:modified xsi:type="dcterms:W3CDTF">2020-01-22T11:35:34Z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(3)pcwoOk7ILh8Hp3uUM3BtEe7nERL6F5jZvOsLkrwnRpI1sRq0HTnUx9637wjEh3T3sQmmBGuJ
5p7vqvvOcRMOxoJXAEn2ywgjd6ILWhMcBJT3540KHGU0Ky1dHGGCZK3/18R3zTXq1MKbDlwh
9+fhqSfpkWCPNN9F3m4LIitpGLZ0iFEyR+3e2FLXyOkPLx3HQH+eIqFNhwt/i1kHChxTaSkh
4rkn6+/hG3QnUK4eyw</vt:lpwstr>
  </property>
  <property fmtid="{D5CDD505-2E9C-101B-9397-08002B2CF9AE}" pid="3" name="_2015_ms_pID_7253431">
    <vt:lpwstr>ooeKN+Yc8wIAVkuMuV5nghFJF/7Tl02rdJI58RYzeQ3wsenxHoKCFQ
HLln6Dg8CNTdl7eJpuFbvBm+mOKdYZoAVjyauwMsbXVtbvNVJbLIv2rSZGCKoksVo08IubZA
Lnuy6m+OG4LbkUI/L80KBn6gM0pmNM8oUFzwZRDTAww/n6pj+9fYF8VOmhgJmxxIXOBa6kq6
31p0THX3pFSpz3Bau8r8RQfXyXqeqjdnoTxq</vt:lpwstr>
  </property>
  <property fmtid="{D5CDD505-2E9C-101B-9397-08002B2CF9AE}" pid="4" name="_2015_ms_pID_7253432">
    <vt:lpwstr>cxHo+4l6l5rVrSSZFBRQHkE=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1579677362</vt:lpwstr>
  </property>
</Properties>
</file>